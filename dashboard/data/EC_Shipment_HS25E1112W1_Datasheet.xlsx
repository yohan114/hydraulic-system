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Item Register" sheetId="2" state="visible" r:id="rId4"/>
    <sheet name="Cost vs Market" sheetId="3" state="visible" r:id="rId5"/>
    <sheet name="Unit Prices (bill)" sheetId="4" state="visible" r:id="rId6"/>
    <sheet name="Crimping Charges" sheetId="5" state="visible" r:id="rId7"/>
    <sheet name="Not received"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<sst xmlns="http://schemas.openxmlformats.org/spreadsheetml/2006/main" count="1250" uniqueCount="373">
  <si>
    <t xml:space="preserve">E&amp;C  ·  Shipment Cost &amp; Market Datasheet</t>
  </si>
  <si>
    <t xml:space="preserve">Invoice HS25E1112W1 · Henan Spark Machinery Co. Ltd · dated 12 Nov 2025 · CIF Colombo · Qingdao → Colombo</t>
  </si>
  <si>
    <t xml:space="preserve">Assumptions  (edit the yellow cells)</t>
  </si>
  <si>
    <t xml:space="preserve">Exchange rate paid (LKR / USD)</t>
  </si>
  <si>
    <t xml:space="preserve">← your actual TT / customs rate (≈ Nov 2025)</t>
  </si>
  <si>
    <t xml:space="preserve">Duty factor on CIF (landed ÷ CIF, ex-VAT)</t>
  </si>
  <si>
    <t xml:space="preserve">← CID 15% + PAL 7.5% + SSCL 2.5% (VAT 18% recoverable)</t>
  </si>
  <si>
    <t xml:space="preserve">Invoice line totals — CIF Colombo</t>
  </si>
  <si>
    <t xml:space="preserve">Line</t>
  </si>
  <si>
    <t xml:space="preserve">USD</t>
  </si>
  <si>
    <t xml:space="preserve">LKR (CIF)</t>
  </si>
  <si>
    <t xml:space="preserve">LKR (landed)</t>
  </si>
  <si>
    <t xml:space="preserve">Hydraulic?</t>
  </si>
  <si>
    <t xml:space="preserve">Connectors 22611/22691/22611D</t>
  </si>
  <si>
    <t xml:space="preserve">Yes</t>
  </si>
  <si>
    <t xml:space="preserve">Connectors 22612/22692/10011N</t>
  </si>
  <si>
    <t xml:space="preserve">Connectors 90011/72011/20011</t>
  </si>
  <si>
    <t xml:space="preserve">Connectors FL/87391 (flanges)</t>
  </si>
  <si>
    <t xml:space="preserve">Rubber hose (R1/R2/4SP/4SH)</t>
  </si>
  <si>
    <t xml:space="preserve">Sleeve / ferrules</t>
  </si>
  <si>
    <t xml:space="preserve">Tube swaging machine</t>
  </si>
  <si>
    <t xml:space="preserve">Brick making machine</t>
  </si>
  <si>
    <t xml:space="preserve">No</t>
  </si>
  <si>
    <t xml:space="preserve">Tea making machine</t>
  </si>
  <si>
    <t xml:space="preserve">TOTAL (whole invoice)</t>
  </si>
  <si>
    <t xml:space="preserve">Hydraulic subtotal (excl. brick + tea)</t>
  </si>
  <si>
    <t xml:space="preserve">Delivery status</t>
  </si>
  <si>
    <t xml:space="preserve">Items ordered</t>
  </si>
  <si>
    <t xml:space="preserve">Items NOT received</t>
  </si>
  <si>
    <t xml:space="preserve">39,40,41,42,43,44,84</t>
  </si>
  <si>
    <t xml:space="preserve">Est. value NOT received (USD)</t>
  </si>
  <si>
    <t xml:space="preserve">Est. value NOT received (LKR landed)</t>
  </si>
  <si>
    <t xml:space="preserve">Notes</t>
  </si>
  <si>
    <t xml:space="preserve">•  This invoice covers a larger order than the hydraulic packing list — it also includes a brick-making machine (8,940 USD) and a tea-making machine (2,500 USD), which are NOT hydraulic and NOT in the packing list.</t>
  </si>
  <si>
    <t xml:space="preserve">•  CIF = cost landed at Colombo port. 'LKR landed' adds the duty factor above (ex-VAT). VAT (18%) is recoverable if E&amp;C is registered.</t>
  </si>
  <si>
    <t xml:space="preserve">•  Exchange rate is set to your Nov-2025 payment rate. The market benchmarks on the Cost vs Market sheet reflect the CURRENT market (~LKR 335/USD).</t>
  </si>
  <si>
    <t xml:space="preserve">•  Per-item costs are ALLOCATED from invoice group totals (the invoice does not price each line) — see method notes on the Cost vs Market sheet.</t>
  </si>
  <si>
    <t xml:space="preserve">ITEM REGISTER — packing list HS25E1112W1  (84 items)</t>
  </si>
  <si>
    <t xml:space="preserve">Red rows = NOT received (items 39,40,41,42,43,44,84). All other items received.</t>
  </si>
  <si>
    <t xml:space="preserve">Category</t>
  </si>
  <si>
    <t xml:space="preserve">Sub-type</t>
  </si>
  <si>
    <t xml:space="preserve">Spec Code</t>
  </si>
  <si>
    <t xml:space="preserve">Description</t>
  </si>
  <si>
    <t xml:space="preserve">Size</t>
  </si>
  <si>
    <t xml:space="preserve">Qty</t>
  </si>
  <si>
    <t xml:space="preserve">Unit</t>
  </si>
  <si>
    <t xml:space="preserve">Received</t>
  </si>
  <si>
    <t xml:space="preserve">Inv. group</t>
  </si>
  <si>
    <t xml:space="preserve">Hose</t>
  </si>
  <si>
    <t xml:space="preserve">R1</t>
  </si>
  <si>
    <t xml:space="preserve">—</t>
  </si>
  <si>
    <t xml:space="preserve">R1 fabric hydraulic hose, ID 6mm</t>
  </si>
  <si>
    <t xml:space="preserve">1/4"</t>
  </si>
  <si>
    <t xml:space="preserve">m</t>
  </si>
  <si>
    <t xml:space="preserve">Rubber hose</t>
  </si>
  <si>
    <t xml:space="preserve">R1 fabric hydraulic hose, ID 8mm</t>
  </si>
  <si>
    <t xml:space="preserve">5/16"</t>
  </si>
  <si>
    <t xml:space="preserve">R1 fabric hydraulic hose, ID 10mm</t>
  </si>
  <si>
    <t xml:space="preserve">3/8"</t>
  </si>
  <si>
    <t xml:space="preserve">R2</t>
  </si>
  <si>
    <t xml:space="preserve">R2 fabric hydraulic hose, ID 6mm</t>
  </si>
  <si>
    <t xml:space="preserve">R2 fabric hydraulic hose, ID 8mm</t>
  </si>
  <si>
    <t xml:space="preserve">R2 fabric hydraulic hose, ID 10mm</t>
  </si>
  <si>
    <t xml:space="preserve">R2 fabric hydraulic hose, ID 13mm</t>
  </si>
  <si>
    <t xml:space="preserve">1/2"</t>
  </si>
  <si>
    <t xml:space="preserve">R2 fabric hydraulic hose, ID 16mm</t>
  </si>
  <si>
    <t xml:space="preserve">5/8"</t>
  </si>
  <si>
    <t xml:space="preserve">R2 fabric hydraulic hose, ID 19mm</t>
  </si>
  <si>
    <t xml:space="preserve">3/4"</t>
  </si>
  <si>
    <t xml:space="preserve">R2 fabric hydraulic hose, ID 25mm</t>
  </si>
  <si>
    <t xml:space="preserve">1"</t>
  </si>
  <si>
    <t xml:space="preserve">R2 fabric hydraulic hose, ID 32mm</t>
  </si>
  <si>
    <t xml:space="preserve">1-1/4"</t>
  </si>
  <si>
    <t xml:space="preserve">4SP</t>
  </si>
  <si>
    <t xml:space="preserve">EN856 4SP hydraulic hose, ID 16mm</t>
  </si>
  <si>
    <t xml:space="preserve">4SH</t>
  </si>
  <si>
    <t xml:space="preserve">EN856 4SH hydraulic hose, ID 19mm</t>
  </si>
  <si>
    <t xml:space="preserve">EN856 4SH hydraulic hose, ID 25mm</t>
  </si>
  <si>
    <t xml:space="preserve">EN856 4SH hydraulic hose, ID 32mm</t>
  </si>
  <si>
    <t xml:space="preserve">Ferrule</t>
  </si>
  <si>
    <t xml:space="preserve">1SN</t>
  </si>
  <si>
    <t xml:space="preserve">00110-04</t>
  </si>
  <si>
    <t xml:space="preserve">Ferrule R1AT/1SN, hose ID 6mm, carbon steel</t>
  </si>
  <si>
    <t xml:space="preserve">pc</t>
  </si>
  <si>
    <t xml:space="preserve">Sleeve/ferrule</t>
  </si>
  <si>
    <t xml:space="preserve">00110-05</t>
  </si>
  <si>
    <t xml:space="preserve">Ferrule R1AT/1SN, hose ID 8mm, carbon steel</t>
  </si>
  <si>
    <t xml:space="preserve">00110-06</t>
  </si>
  <si>
    <t xml:space="preserve">Ferrule R1AT/1SN, hose ID 10mm, carbon steel</t>
  </si>
  <si>
    <t xml:space="preserve">2SN</t>
  </si>
  <si>
    <t xml:space="preserve">00210-04</t>
  </si>
  <si>
    <t xml:space="preserve">Ferrule R2AT/2SN, hose ID 6mm, carbon steel</t>
  </si>
  <si>
    <t xml:space="preserve">00210-05</t>
  </si>
  <si>
    <t xml:space="preserve">Ferrule R2AT/2SN, hose ID 8mm, carbon steel</t>
  </si>
  <si>
    <t xml:space="preserve">00210-06</t>
  </si>
  <si>
    <t xml:space="preserve">Ferrule R2AT/2SN, hose ID 10mm, carbon steel</t>
  </si>
  <si>
    <t xml:space="preserve">00210-08</t>
  </si>
  <si>
    <t xml:space="preserve">Ferrule R2AT/2SN, hose ID 12mm, carbon steel</t>
  </si>
  <si>
    <t xml:space="preserve">00210-10</t>
  </si>
  <si>
    <t xml:space="preserve">Ferrule R2AT/2SN, hose ID 16mm, carbon steel</t>
  </si>
  <si>
    <t xml:space="preserve">00210-12</t>
  </si>
  <si>
    <t xml:space="preserve">Ferrule R2AT/2SN, hose ID 20mm, carbon steel</t>
  </si>
  <si>
    <t xml:space="preserve">00210-16</t>
  </si>
  <si>
    <t xml:space="preserve">Ferrule R2AT/2SN, hose ID 25mm, carbon steel</t>
  </si>
  <si>
    <t xml:space="preserve">00210-20</t>
  </si>
  <si>
    <t xml:space="preserve">Ferrule R2AT/2SN, hose ID 32mm, carbon steel</t>
  </si>
  <si>
    <t xml:space="preserve">Spiral</t>
  </si>
  <si>
    <t xml:space="preserve">00400-10</t>
  </si>
  <si>
    <t xml:space="preserve">Ferrule R9/R12/4SP-4SH, hose ID 16mm</t>
  </si>
  <si>
    <t xml:space="preserve">00400-12</t>
  </si>
  <si>
    <t xml:space="preserve">Ferrule R9/R12/4SP-4SH, hose ID 20mm</t>
  </si>
  <si>
    <t xml:space="preserve">00400-16</t>
  </si>
  <si>
    <t xml:space="preserve">Ferrule R9/R12/4SP-4SH, hose ID 25mm</t>
  </si>
  <si>
    <t xml:space="preserve">00400-20</t>
  </si>
  <si>
    <t xml:space="preserve">Ferrule R9/R12/4SP-4SH, hose ID 32mm</t>
  </si>
  <si>
    <t xml:space="preserve">Union</t>
  </si>
  <si>
    <t xml:space="preserve">BSP straight</t>
  </si>
  <si>
    <t xml:space="preserve">22611-04-04</t>
  </si>
  <si>
    <t xml:space="preserve">BSP female 60° cone G1/4"x19, hose 6mm</t>
  </si>
  <si>
    <t xml:space="preserve">G1/4"</t>
  </si>
  <si>
    <t xml:space="preserve">Conn.828</t>
  </si>
  <si>
    <t xml:space="preserve">22611-06-04</t>
  </si>
  <si>
    <t xml:space="preserve">BSP female 60° cone G3/8"x19, hose 6mm</t>
  </si>
  <si>
    <t xml:space="preserve">G3/8"</t>
  </si>
  <si>
    <t xml:space="preserve">22611-06-06</t>
  </si>
  <si>
    <t xml:space="preserve">BSP female 60° cone G3/8"x19, hose 10mm</t>
  </si>
  <si>
    <t xml:space="preserve">22611-06-08</t>
  </si>
  <si>
    <t xml:space="preserve">BSP female 60° cone G3/8"x19, hose 12mm</t>
  </si>
  <si>
    <t xml:space="preserve">22611-08-06T</t>
  </si>
  <si>
    <t xml:space="preserve">BSP female 60° cone G1/2"x14, hose 10mm</t>
  </si>
  <si>
    <t xml:space="preserve">G1/2"</t>
  </si>
  <si>
    <t xml:space="preserve">22611-08-08</t>
  </si>
  <si>
    <t xml:space="preserve">BSP female 60° cone G1/2"x14, hose 12mm</t>
  </si>
  <si>
    <t xml:space="preserve">22611-10-10</t>
  </si>
  <si>
    <t xml:space="preserve">BSP female 60° cone G5/8"x14, hose 16mm</t>
  </si>
  <si>
    <t xml:space="preserve">G5/8"</t>
  </si>
  <si>
    <t xml:space="preserve">22611-12-12</t>
  </si>
  <si>
    <t xml:space="preserve">BSP female 60° cone G3/4"x14, hose 20mm</t>
  </si>
  <si>
    <t xml:space="preserve">G3/4"</t>
  </si>
  <si>
    <t xml:space="preserve">22611-16-16</t>
  </si>
  <si>
    <t xml:space="preserve">BSP female 60° cone G1"x11, hose 25mm</t>
  </si>
  <si>
    <t xml:space="preserve">G1"</t>
  </si>
  <si>
    <t xml:space="preserve">NO</t>
  </si>
  <si>
    <t xml:space="preserve">22611-20-20W</t>
  </si>
  <si>
    <t xml:space="preserve">BSP female 60° cone G1-1/4"x11, hose 32mm</t>
  </si>
  <si>
    <t xml:space="preserve">G1-1/4"</t>
  </si>
  <si>
    <t xml:space="preserve">BSP 90°</t>
  </si>
  <si>
    <t xml:space="preserve">22691-04-04</t>
  </si>
  <si>
    <t xml:space="preserve">90° BSP female 60° cone G1/4"x19, hose 6mm</t>
  </si>
  <si>
    <t xml:space="preserve">22691-06-06</t>
  </si>
  <si>
    <t xml:space="preserve">90° BSP female 60° cone G3/8"x19, hose 10mm</t>
  </si>
  <si>
    <t xml:space="preserve">22691-08-08</t>
  </si>
  <si>
    <t xml:space="preserve">90° BSP female 60° cone G1/2"x14, hose 12mm</t>
  </si>
  <si>
    <t xml:space="preserve">BSP dbl-hex</t>
  </si>
  <si>
    <t xml:space="preserve">22611D-04-04</t>
  </si>
  <si>
    <t xml:space="preserve">BSP female 60° cone dbl-hex G1/4"x19, hose 6mm</t>
  </si>
  <si>
    <t xml:space="preserve">22611D-06-06</t>
  </si>
  <si>
    <t xml:space="preserve">BSP female 60° cone dbl-hex G3/8"x19, hose 10mm</t>
  </si>
  <si>
    <t xml:space="preserve">22611D-08-08</t>
  </si>
  <si>
    <t xml:space="preserve">BSP female 60° cone dbl-hex G1/2"x14, hose 12mm</t>
  </si>
  <si>
    <t xml:space="preserve">22611D-12-12</t>
  </si>
  <si>
    <t xml:space="preserve">BSP female 60° cone dbl-hex G3/4"x14, hose 20mm</t>
  </si>
  <si>
    <t xml:space="preserve">22611D-16-16</t>
  </si>
  <si>
    <t xml:space="preserve">BSP female 60° cone dbl-hex G1"x11, hose 25mm</t>
  </si>
  <si>
    <t xml:space="preserve">22611D-20-20W</t>
  </si>
  <si>
    <t xml:space="preserve">BSP female 60° cone dbl-hex G1-1/4"x11, hose 32mm</t>
  </si>
  <si>
    <t xml:space="preserve">22612-10-10</t>
  </si>
  <si>
    <t xml:space="preserve">Conn.1032</t>
  </si>
  <si>
    <t xml:space="preserve">22612-12-12</t>
  </si>
  <si>
    <t xml:space="preserve">22612-16-16</t>
  </si>
  <si>
    <t xml:space="preserve">22612-20-20</t>
  </si>
  <si>
    <t xml:space="preserve">22692-04-04</t>
  </si>
  <si>
    <t xml:space="preserve">22692-06-06</t>
  </si>
  <si>
    <t xml:space="preserve">22692-08-08</t>
  </si>
  <si>
    <t xml:space="preserve">22692-10-10</t>
  </si>
  <si>
    <t xml:space="preserve">90° BSP female 60° cone G5/8"x14, hose 16mm</t>
  </si>
  <si>
    <t xml:space="preserve">22692-12-12</t>
  </si>
  <si>
    <t xml:space="preserve">90° BSP female 60° cone G3/4"x14, hose 20mm</t>
  </si>
  <si>
    <t xml:space="preserve">22692-16-16</t>
  </si>
  <si>
    <t xml:space="preserve">90° BSP female 60° cone G1"x11, hose 25mm</t>
  </si>
  <si>
    <t xml:space="preserve">22692-20-20</t>
  </si>
  <si>
    <t xml:space="preserve">90° BSP female 60° cone G1-1/4"x11, hose 32mm</t>
  </si>
  <si>
    <t xml:space="preserve">Weld fitting</t>
  </si>
  <si>
    <t xml:space="preserve">10011N-04</t>
  </si>
  <si>
    <t xml:space="preserve">Welding fitting, hose ID 6mm</t>
  </si>
  <si>
    <t xml:space="preserve">6mm</t>
  </si>
  <si>
    <t xml:space="preserve">10011N-05</t>
  </si>
  <si>
    <t xml:space="preserve">Welding fitting, hose ID 8mm</t>
  </si>
  <si>
    <t xml:space="preserve">8mm</t>
  </si>
  <si>
    <t xml:space="preserve">10011N-06</t>
  </si>
  <si>
    <t xml:space="preserve">Welding fitting, hose ID 10mm</t>
  </si>
  <si>
    <t xml:space="preserve">10mm</t>
  </si>
  <si>
    <t xml:space="preserve">10011N-08</t>
  </si>
  <si>
    <t xml:space="preserve">Welding fitting, hose ID 12mm</t>
  </si>
  <si>
    <t xml:space="preserve">12mm</t>
  </si>
  <si>
    <t xml:space="preserve">10011N-10</t>
  </si>
  <si>
    <t xml:space="preserve">Welding fitting, hose ID 16mm</t>
  </si>
  <si>
    <t xml:space="preserve">16mm</t>
  </si>
  <si>
    <t xml:space="preserve">10011N-12</t>
  </si>
  <si>
    <t xml:space="preserve">Welding fitting, hose ID 20mm</t>
  </si>
  <si>
    <t xml:space="preserve">20mm</t>
  </si>
  <si>
    <t xml:space="preserve">10011N-16</t>
  </si>
  <si>
    <t xml:space="preserve">Welding fitting, hose ID 25mm</t>
  </si>
  <si>
    <t xml:space="preserve">25mm</t>
  </si>
  <si>
    <t xml:space="preserve">10011N-20</t>
  </si>
  <si>
    <t xml:space="preserve">Welding fitting, hose ID 32mm</t>
  </si>
  <si>
    <t xml:space="preserve">32mm</t>
  </si>
  <si>
    <t xml:space="preserve">Dbl connector</t>
  </si>
  <si>
    <t xml:space="preserve">90011-04</t>
  </si>
  <si>
    <t xml:space="preserve">Double connector, hose ID 6mm</t>
  </si>
  <si>
    <t xml:space="preserve">Conn.70</t>
  </si>
  <si>
    <t xml:space="preserve">90011-06</t>
  </si>
  <si>
    <t xml:space="preserve">Double connector, hose ID 10mm</t>
  </si>
  <si>
    <t xml:space="preserve">90011-08</t>
  </si>
  <si>
    <t xml:space="preserve">Double connector, hose ID 12mm</t>
  </si>
  <si>
    <t xml:space="preserve">90011-10</t>
  </si>
  <si>
    <t xml:space="preserve">Double connector, hose ID 16mm</t>
  </si>
  <si>
    <t xml:space="preserve">BSP banjo</t>
  </si>
  <si>
    <t xml:space="preserve">72011-04-04</t>
  </si>
  <si>
    <t xml:space="preserve">BSP banjo G1/4"x19, DN 6mm</t>
  </si>
  <si>
    <t xml:space="preserve">72011-04-05</t>
  </si>
  <si>
    <t xml:space="preserve">BSP banjo G1/4"x19, DN 8mm</t>
  </si>
  <si>
    <t xml:space="preserve">72011-06-06</t>
  </si>
  <si>
    <t xml:space="preserve">BSP banjo G3/8"x19, DN 10mm</t>
  </si>
  <si>
    <t xml:space="preserve">72011-08-08</t>
  </si>
  <si>
    <t xml:space="preserve">BSP banjo G1/2"x14, DN 12mm</t>
  </si>
  <si>
    <t xml:space="preserve">Metric insert</t>
  </si>
  <si>
    <t xml:space="preserve">20011-22-04ST</t>
  </si>
  <si>
    <t xml:space="preserve">Metric female waterwash insert M22x1.5, DN 6mm</t>
  </si>
  <si>
    <t xml:space="preserve">M22x1.5</t>
  </si>
  <si>
    <t xml:space="preserve">20011-22-06ST</t>
  </si>
  <si>
    <t xml:space="preserve">Metric female waterwash insert M22x1.5, DN 10mm</t>
  </si>
  <si>
    <t xml:space="preserve">Flange</t>
  </si>
  <si>
    <t xml:space="preserve">Flange clamp</t>
  </si>
  <si>
    <t xml:space="preserve">FL-12</t>
  </si>
  <si>
    <t xml:space="preserve">SAE split flange clamp 3000psi ISO6162 J518, 3/4", bolt M10x30</t>
  </si>
  <si>
    <t xml:space="preserve">Flange.120</t>
  </si>
  <si>
    <t xml:space="preserve">FL-16</t>
  </si>
  <si>
    <t xml:space="preserve">SAE split flange clamp 3000psi ISO6162 J518, 1", bolt M10x30</t>
  </si>
  <si>
    <t xml:space="preserve">FL-20</t>
  </si>
  <si>
    <t xml:space="preserve">SAE split flange clamp 3000psi ISO6162 J518, 1-1/4", bolt M10x30</t>
  </si>
  <si>
    <t xml:space="preserve">90° flange</t>
  </si>
  <si>
    <t xml:space="preserve">87391-12-12</t>
  </si>
  <si>
    <t xml:space="preserve">90° SAE flange 3000psi Code 61 ISO12151-3 J516, 3/4", hose 20mm</t>
  </si>
  <si>
    <t xml:space="preserve">87391-16-16</t>
  </si>
  <si>
    <t xml:space="preserve">90° SAE flange 3000psi Code 61 ISO12151-3 J516, 1", hose 25mm</t>
  </si>
  <si>
    <t xml:space="preserve">Machine</t>
  </si>
  <si>
    <t xml:space="preserve">Swaging m/c</t>
  </si>
  <si>
    <t xml:space="preserve">R32ELD-380V</t>
  </si>
  <si>
    <t xml:space="preserve">Tube swaging machine, crimp 1/4"-2" 6-51mm 4SH, 12 die sets, 4kW, 380V 3ph, 310kg</t>
  </si>
  <si>
    <t xml:space="preserve">1/4"-2"</t>
  </si>
  <si>
    <t xml:space="preserve">unit</t>
  </si>
  <si>
    <t xml:space="preserve">Machine.1700</t>
  </si>
  <si>
    <t xml:space="preserve">COST vs MARKET — your landed cost against local market Mid</t>
  </si>
  <si>
    <t xml:space="preserve">LKR, VAT-excl. Landed = CIF × duty factor (Summary). Market Mid = current local benchmark (editable, blue). Markup% = how much above your landed cost the market sells = pricing headroom.</t>
  </si>
  <si>
    <t xml:space="preserve">A.  HOSE — 4,700 USD allocated across 15 lines by (metres × market Mid)</t>
  </si>
  <si>
    <t xml:space="preserve">Grade / size</t>
  </si>
  <si>
    <t xml:space="preserve">Metres</t>
  </si>
  <si>
    <t xml:space="preserve">Mkt Mid
LKR/m</t>
  </si>
  <si>
    <t xml:space="preserve">Cost
USD/m</t>
  </si>
  <si>
    <t xml:space="preserve">Cost
LKR/m CIF</t>
  </si>
  <si>
    <t xml:space="preserve">Landed
LKR/m</t>
  </si>
  <si>
    <t xml:space="preserve">Market Mid
LKR/m</t>
  </si>
  <si>
    <t xml:space="preserve">Markup
%</t>
  </si>
  <si>
    <t xml:space="preserve">R1 1/4"</t>
  </si>
  <si>
    <t xml:space="preserve">R1 5/16"</t>
  </si>
  <si>
    <t xml:space="preserve">R1 3/8"</t>
  </si>
  <si>
    <t xml:space="preserve">R2 1/4"</t>
  </si>
  <si>
    <t xml:space="preserve">R2 5/16"</t>
  </si>
  <si>
    <t xml:space="preserve">R2 3/8"</t>
  </si>
  <si>
    <t xml:space="preserve">R2 1/2"</t>
  </si>
  <si>
    <t xml:space="preserve">R2 5/8"</t>
  </si>
  <si>
    <t xml:space="preserve">R2 3/4"</t>
  </si>
  <si>
    <t xml:space="preserve">R2 1"</t>
  </si>
  <si>
    <t xml:space="preserve">R2 1-1/4"</t>
  </si>
  <si>
    <t xml:space="preserve">4SP 5/8"</t>
  </si>
  <si>
    <t xml:space="preserve">4SH 3/4"</t>
  </si>
  <si>
    <t xml:space="preserve">4SH 1"</t>
  </si>
  <si>
    <t xml:space="preserve">4SH 1-1/4"</t>
  </si>
  <si>
    <t xml:space="preserve">Hose total / avg</t>
  </si>
  <si>
    <t xml:space="preserve">B.  FITTINGS &amp; MACHINE — allocated from invoice group totals (avg cost per piece)</t>
  </si>
  <si>
    <t xml:space="preserve">Pcs</t>
  </si>
  <si>
    <t xml:space="preserve">Group USD</t>
  </si>
  <si>
    <t xml:space="preserve">Alloc USD</t>
  </si>
  <si>
    <t xml:space="preserve">Cost USD/pc</t>
  </si>
  <si>
    <t xml:space="preserve">Cost LKR/pc</t>
  </si>
  <si>
    <t xml:space="preserve">Landed LKR/pc</t>
  </si>
  <si>
    <t xml:space="preserve">(market varies)</t>
  </si>
  <si>
    <t xml:space="preserve">Ferrule 1SN (90110)</t>
  </si>
  <si>
    <t xml:space="preserve">Ferrule 2SN (00210)</t>
  </si>
  <si>
    <t xml:space="preserve">Ferrule spiral (00400)</t>
  </si>
  <si>
    <t xml:space="preserve">Unions grp 828 (31-49)</t>
  </si>
  <si>
    <t xml:space="preserve">Unions grp 1032 (50-68)</t>
  </si>
  <si>
    <t xml:space="preserve">Unions grp 70 (69-78)</t>
  </si>
  <si>
    <t xml:space="preserve">Flanges grp 120 (79-83)</t>
  </si>
  <si>
    <t xml:space="preserve">Swaging machine</t>
  </si>
  <si>
    <t xml:space="preserve">Method &amp; caveats</t>
  </si>
  <si>
    <t xml:space="preserve">•  The invoice prices GROUPS, not individual lines, so every per-item cost here is an ALLOCATION, not the supplier's exact figure.</t>
  </si>
  <si>
    <t xml:space="preserve">•  Hose: the 4,700 USD is split across the 15 lines in proportion to (metres × market Mid), so the cost distribution follows the market price shape. This makes the markup% roughly uniform across hose — the reliable insight is the AGGREGATE gap, not line-by-line.</t>
  </si>
  <si>
    <t xml:space="preserve">•  Fittings: each invoice group's USD is divided equally per piece within the group (a G1-1/4" fitting really costs more than a G1/4", so treat small vs large within a group as indicative only).</t>
  </si>
  <si>
    <t xml:space="preserve">•  The large markup vs market Mid means either local retail margins on imported hose are very high, OR our market Mid benchmark is on the high side. Either way, YOUR landed cost is now the ground truth — consider revising the rate-card Mid down toward it.</t>
  </si>
  <si>
    <t xml:space="preserve">•  Ferrule spiral (00400) and larger sizes physically cost more than the equal-per-piece split shows; refine when you get a priced invoice.</t>
  </si>
  <si>
    <t xml:space="preserve">UNIT PRICE LIST — unions · ferrules · flanges   (bill-ready)</t>
  </si>
  <si>
    <t xml:space="preserve">Per-piece COST allocated from each invoice group total by (size × fitting-type) weight. Cost = CIF × duty (Summary). SELL = market benchmark / estimate (blue, editable). Margin = Sell ÷ Cost − 1. LKR, VAT-excl.</t>
  </si>
  <si>
    <t xml:space="preserve">Type</t>
  </si>
  <si>
    <t xml:space="preserve">Code</t>
  </si>
  <si>
    <t xml:space="preserve">Weight</t>
  </si>
  <si>
    <t xml:space="preserve">Cost USD</t>
  </si>
  <si>
    <t xml:space="preserve">Cost LKR</t>
  </si>
  <si>
    <t xml:space="preserve">Sell LKR</t>
  </si>
  <si>
    <t xml:space="preserve">Margin</t>
  </si>
  <si>
    <t xml:space="preserve">Recv</t>
  </si>
  <si>
    <t xml:space="preserve">FERRULES — sleeve group</t>
  </si>
  <si>
    <t xml:space="preserve">Grp USD→</t>
  </si>
  <si>
    <t xml:space="preserve">Subtotal — Σ(qty×cost) = group USD →</t>
  </si>
  <si>
    <t xml:space="preserve">UNIONS — group 828  (BSP straight / 90° / double-hex)</t>
  </si>
  <si>
    <t xml:space="preserve">UNIONS — group 1032  (BSP straight / 90° / welding fitting)</t>
  </si>
  <si>
    <t xml:space="preserve">UNIONS — group 70  (double connector / banjo / metric insert)</t>
  </si>
  <si>
    <t xml:space="preserve">FLANGES — group 120  (clamps / 90° flange)</t>
  </si>
  <si>
    <t xml:space="preserve">BILL VALUE — all fitting stock at Sell price vs at Cost</t>
  </si>
  <si>
    <t xml:space="preserve">Total stock at COST (LKR landed)</t>
  </si>
  <si>
    <t xml:space="preserve">Total stock at SELL (LKR, bill value)</t>
  </si>
  <si>
    <t xml:space="preserve">Gross margin on fitting stock</t>
  </si>
  <si>
    <t xml:space="preserve">How to use for a bill · method</t>
  </si>
  <si>
    <t xml:space="preserve">•  For a bill, charge the SELL price × quantity. The Sell column is pre-filled: BSP straight/90° from the market rate card, others estimated from size × type — all editable, so overwrite with your quoted price.</t>
  </si>
  <si>
    <t xml:space="preserve">•  COST is a reverse-cost allocation (invoice prices groups, not lines). Each group's USD is split by (qty × size×type weight), so cost scales correctly with size and fitting type. Σ of each block's allocated cost = the exact group USD (check the subtotal).</t>
  </si>
  <si>
    <t xml:space="preserve">•  Weight column is editable — raise/lower an item's weight to shift more/less of the group cost onto it.</t>
  </si>
  <si>
    <t xml:space="preserve">•  Not-received items (39-44) are kept in the allocation so received items are not over-costed; their share is your supplier claim (see Not received sheet). Don't bill them — they're marked NO.</t>
  </si>
  <si>
    <t xml:space="preserve">•  Sell is floored at cost + 60% so nothing bills below cost. Ferrules hit that floor (your landed ferrule cost is ABOVE our market ferrule benchmark — meaning that benchmark was too low; use your real selling price). Unions/flanges keep the market price.</t>
  </si>
  <si>
    <t xml:space="preserve">•  Margins run very high on unions/welds/flanges (~180-430%) because your China-direct landed cost is roughly a quarter of local market. You can bill below market and still make strong margin, or bill at market for maximum profit.</t>
  </si>
  <si>
    <t xml:space="preserve">CRIMPING CHARGES — market rate per end vs your internal cost</t>
  </si>
  <si>
    <t xml:space="preserve">LKR, VAT-excl, PER END. Market = standalone per-end crimp fee (shops usually bundle it into a finished assembly). Internal cost = machine amortization + labour + consumables. Bill margin = market Mid − internal cost.</t>
  </si>
  <si>
    <t xml:space="preserve">A.  Internal cost model — edit the yellow cells</t>
  </si>
  <si>
    <t xml:space="preserve">Crimping machine cost (LKR landed)</t>
  </si>
  <si>
    <t xml:space="preserve">R32ELD ordered @1,700 USD (edit to your machine)</t>
  </si>
  <si>
    <t xml:space="preserve">Machine life (years)</t>
  </si>
  <si>
    <t xml:space="preserve">straight-line amortization</t>
  </si>
  <si>
    <t xml:space="preserve">Crimp ends per year</t>
  </si>
  <si>
    <t xml:space="preserve">≈400 assemblies × 2 ends</t>
  </si>
  <si>
    <t xml:space="preserve">→ Machine amort per end (LKR)</t>
  </si>
  <si>
    <t xml:space="preserve">auto</t>
  </si>
  <si>
    <t xml:space="preserve">Labour rate, burdened (LKR/hr)</t>
  </si>
  <si>
    <t xml:space="preserve">salary + EPF/ETF + OT + overhead</t>
  </si>
  <si>
    <t xml:space="preserve">Consumables / dies per end (LKR)</t>
  </si>
  <si>
    <t xml:space="preserve">die wear, cut-off blade</t>
  </si>
  <si>
    <t xml:space="preserve">Power per end (LKR)</t>
  </si>
  <si>
    <t xml:space="preserve">4 kW × short cycle</t>
  </si>
  <si>
    <t xml:space="preserve">B.  Per end — market crimp charge &amp; your margin</t>
  </si>
  <si>
    <t xml:space="preserve">Time
min</t>
  </si>
  <si>
    <t xml:space="preserve">Labour
/end</t>
  </si>
  <si>
    <t xml:space="preserve">Amort
/end</t>
  </si>
  <si>
    <t xml:space="preserve">Consum+
power</t>
  </si>
  <si>
    <t xml:space="preserve">INTERNAL
cost/end</t>
  </si>
  <si>
    <t xml:space="preserve">Mkt
Low</t>
  </si>
  <si>
    <t xml:space="preserve">Mkt
Mid</t>
  </si>
  <si>
    <t xml:space="preserve">Mkt
High</t>
  </si>
  <si>
    <t xml:space="preserve">Margin/end
(at Mid)</t>
  </si>
  <si>
    <t xml:space="preserve">Margin
%</t>
  </si>
  <si>
    <t xml:space="preserve">How to use · notes</t>
  </si>
  <si>
    <t xml:space="preserve">•  To bill a hose assembly: parts (Unit Prices sheet) + crimping (this sheet) × number of ends + hose. A 2-ferrule / 2-union assembly = 2 crimp ends, so charge 2 × the per-end rate.</t>
  </si>
  <si>
    <t xml:space="preserve">•  Charge at market Mid for a clean margin; the 'Low' column is where small shops sit (often waived if the customer buys parts). 'High' is branded shops with a test certificate.</t>
  </si>
  <si>
    <t xml:space="preserve">•  Internal cost is dominated by LABOUR, not the machine — at 800 ends/yr the machine amortizes to ~120 LKR/end. The more ends you run, the lower the amort (edit 'ends per year' to see it).</t>
  </si>
  <si>
    <t xml:space="preserve">•  Spiral hose (4SP/4SH) and large bore take longer (skiving) — the higher time on 1" / 1-1/4" reflects that; raise it further for 4SH.</t>
  </si>
  <si>
    <t xml:space="preserve">•  Machine cost defaults to the ordered R32ELD (1,700 USD landed). It was NOT received in this shipment — edit the cell to your actual machine, or set it to 0 if crimping on an existing paid-off machine.</t>
  </si>
  <si>
    <t xml:space="preserve">•  These market rates are benchmarks (SL shops rarely publish a standalone crimp fee) — confirm against a couple of local quotes.</t>
  </si>
  <si>
    <t xml:space="preserve">NOT RECEIVED — items to claim / follow up with supplier</t>
  </si>
  <si>
    <t xml:space="preserve">Items short-shipped against packing list HS25E1112W1. Item 84 value is exact (own invoice line); connector values are estimated (equal per-piece within the 828 USD group).</t>
  </si>
  <si>
    <t xml:space="preserve">Est. USD</t>
  </si>
  <si>
    <t xml:space="preserve">Basis</t>
  </si>
  <si>
    <t xml:space="preserve">est. per-piece (828/925)</t>
  </si>
  <si>
    <t xml:space="preserve">exact — invoice line</t>
  </si>
  <si>
    <t xml:space="preserve">TOTAL estimated value not received</t>
  </si>
  <si>
    <t xml:space="preserve">LKR landed (rate × duty, from Summary)</t>
  </si>
</sst>
</file>

<file path=xl/styles.xml><?xml version="1.0" encoding="utf-8"?>
<styleSheet xmlns="http://schemas.openxmlformats.org/spreadsheetml/2006/main">
  <numFmts count="4">
    <numFmt numFmtId="164" formatCode="General"/>
    <numFmt numFmtId="165" formatCode="#,##0"/>
    <numFmt numFmtId="166" formatCode="#,##0.00"/>
    <numFmt numFmtId="167" formatCode="0%"/>
  </numFmts>
  <fonts count="34">
    <font>
      <sz val="11"/>
      <color theme="1"/>
      <name val="Calibri"/>
      <family val="2"/>
      <charset val="1"/>
    </font>
    <font>
      <sz val="10"/>
      <name val="Arial"/>
      <family val="0"/>
    </font>
    <font>
      <sz val="10"/>
      <name val="Arial"/>
      <family val="0"/>
    </font>
    <font>
      <sz val="10"/>
      <name val="Arial"/>
      <family val="0"/>
    </font>
    <font>
      <b val="true"/>
      <sz val="15"/>
      <color rgb="FFFFFFFF"/>
      <name val="Arial"/>
      <family val="0"/>
      <charset val="1"/>
    </font>
    <font>
      <i val="true"/>
      <sz val="10"/>
      <color rgb="FFFFFFFF"/>
      <name val="Arial"/>
      <family val="0"/>
      <charset val="1"/>
    </font>
    <font>
      <b val="true"/>
      <sz val="11"/>
      <color rgb="FF1F3A5F"/>
      <name val="Arial"/>
      <family val="0"/>
      <charset val="1"/>
    </font>
    <font>
      <b val="true"/>
      <sz val="10"/>
      <color rgb="FF000000"/>
      <name val="Arial"/>
      <family val="0"/>
      <charset val="1"/>
    </font>
    <font>
      <sz val="11"/>
      <color rgb="FF0000FF"/>
      <name val="Arial"/>
      <family val="0"/>
      <charset val="1"/>
    </font>
    <font>
      <i val="true"/>
      <sz val="9"/>
      <color rgb="FF666666"/>
      <name val="Arial"/>
      <family val="0"/>
      <charset val="1"/>
    </font>
    <font>
      <b val="true"/>
      <sz val="10"/>
      <color rgb="FFFFFFFF"/>
      <name val="Arial"/>
      <family val="0"/>
      <charset val="1"/>
    </font>
    <font>
      <sz val="10"/>
      <color rgb="FF000000"/>
      <name val="Arial"/>
      <family val="0"/>
      <charset val="1"/>
    </font>
    <font>
      <sz val="10"/>
      <color rgb="FF107C10"/>
      <name val="Arial"/>
      <family val="0"/>
      <charset val="1"/>
    </font>
    <font>
      <sz val="10"/>
      <color rgb="FF999999"/>
      <name val="Arial"/>
      <family val="0"/>
      <charset val="1"/>
    </font>
    <font>
      <b val="true"/>
      <sz val="11"/>
      <color rgb="FF000000"/>
      <name val="Arial"/>
      <family val="0"/>
      <charset val="1"/>
    </font>
    <font>
      <b val="true"/>
      <sz val="10"/>
      <color rgb="FFB00020"/>
      <name val="Arial"/>
      <family val="0"/>
      <charset val="1"/>
    </font>
    <font>
      <sz val="10"/>
      <color rgb="FFB00020"/>
      <name val="Arial"/>
      <family val="0"/>
      <charset val="1"/>
    </font>
    <font>
      <sz val="9"/>
      <color rgb="FF000000"/>
      <name val="Arial"/>
      <family val="0"/>
      <charset val="1"/>
    </font>
    <font>
      <b val="true"/>
      <sz val="13"/>
      <color rgb="FFFFFFFF"/>
      <name val="Arial"/>
      <family val="0"/>
      <charset val="1"/>
    </font>
    <font>
      <i val="true"/>
      <sz val="9"/>
      <color rgb="FF000000"/>
      <name val="Arial"/>
      <family val="0"/>
      <charset val="1"/>
    </font>
    <font>
      <b val="true"/>
      <sz val="9"/>
      <color rgb="FFB00020"/>
      <name val="Arial"/>
      <family val="0"/>
      <charset val="1"/>
    </font>
    <font>
      <b val="true"/>
      <sz val="9"/>
      <color rgb="FFFFFFFF"/>
      <name val="Arial"/>
      <family val="0"/>
      <charset val="1"/>
    </font>
    <font>
      <sz val="9"/>
      <color rgb="FF0000FF"/>
      <name val="Arial"/>
      <family val="0"/>
      <charset val="1"/>
    </font>
    <font>
      <b val="true"/>
      <sz val="9"/>
      <color rgb="FF107C10"/>
      <name val="Arial"/>
      <family val="0"/>
      <charset val="1"/>
    </font>
    <font>
      <b val="true"/>
      <sz val="9"/>
      <color rgb="FF000000"/>
      <name val="Arial"/>
      <family val="0"/>
      <charset val="1"/>
    </font>
    <font>
      <b val="true"/>
      <sz val="10"/>
      <color rgb="FF1F3A5F"/>
      <name val="Arial"/>
      <family val="0"/>
      <charset val="1"/>
    </font>
    <font>
      <b val="true"/>
      <sz val="8"/>
      <color rgb="FF666666"/>
      <name val="Arial"/>
      <family val="0"/>
      <charset val="1"/>
    </font>
    <font>
      <b val="true"/>
      <sz val="9"/>
      <color rgb="FF1F3A5F"/>
      <name val="Arial"/>
      <family val="0"/>
      <charset val="1"/>
    </font>
    <font>
      <sz val="8"/>
      <color rgb="FF000000"/>
      <name val="Arial"/>
      <family val="0"/>
      <charset val="1"/>
    </font>
    <font>
      <sz val="9"/>
      <color rgb="FF107C10"/>
      <name val="Arial"/>
      <family val="0"/>
      <charset val="1"/>
    </font>
    <font>
      <b val="true"/>
      <sz val="11"/>
      <color rgb="FF107C10"/>
      <name val="Arial"/>
      <family val="0"/>
      <charset val="1"/>
    </font>
    <font>
      <sz val="10"/>
      <color rgb="FF0000FF"/>
      <name val="Arial"/>
      <family val="0"/>
      <charset val="1"/>
    </font>
    <font>
      <i val="true"/>
      <sz val="9"/>
      <color rgb="FF777777"/>
      <name val="Arial"/>
      <family val="0"/>
      <charset val="1"/>
    </font>
    <font>
      <sz val="9"/>
      <color rgb="FF666666"/>
      <name val="Arial"/>
      <family val="0"/>
      <charset val="1"/>
    </font>
  </fonts>
  <fills count="11">
    <fill>
      <patternFill patternType="none"/>
    </fill>
    <fill>
      <patternFill patternType="gray125"/>
    </fill>
    <fill>
      <patternFill patternType="solid">
        <fgColor rgb="FF1F3A5F"/>
        <bgColor rgb="FF333333"/>
      </patternFill>
    </fill>
    <fill>
      <patternFill patternType="solid">
        <fgColor rgb="FF2E5A88"/>
        <bgColor rgb="FF1F3A5F"/>
      </patternFill>
    </fill>
    <fill>
      <patternFill patternType="solid">
        <fgColor rgb="FFDCE6F1"/>
        <bgColor rgb="FFD6ECD6"/>
      </patternFill>
    </fill>
    <fill>
      <patternFill patternType="solid">
        <fgColor rgb="FFFFF9E6"/>
        <bgColor rgb="FFFCEFF0"/>
      </patternFill>
    </fill>
    <fill>
      <patternFill patternType="solid">
        <fgColor rgb="FFEAF1F8"/>
        <bgColor rgb="FFF2F4F6"/>
      </patternFill>
    </fill>
    <fill>
      <patternFill patternType="solid">
        <fgColor rgb="FFD6ECD6"/>
        <bgColor rgb="FFDCE6F1"/>
      </patternFill>
    </fill>
    <fill>
      <patternFill patternType="solid">
        <fgColor rgb="FFFCEFF0"/>
        <bgColor rgb="FFF2F4F6"/>
      </patternFill>
    </fill>
    <fill>
      <patternFill patternType="solid">
        <fgColor rgb="FFF8D7DA"/>
        <bgColor rgb="FFFCEFF0"/>
      </patternFill>
    </fill>
    <fill>
      <patternFill patternType="solid">
        <fgColor rgb="FFF2F4F6"/>
        <bgColor rgb="FFEAF1F8"/>
      </patternFill>
    </fill>
  </fills>
  <borders count="2">
    <border diagonalUp="false" diagonalDown="false">
      <left/>
      <right/>
      <top/>
      <bottom/>
      <diagonal/>
    </border>
    <border diagonalUp="false" diagonalDown="false">
      <left style="thin">
        <color rgb="FFB7C2CC"/>
      </left>
      <right style="thin">
        <color rgb="FFB7C2CC"/>
      </right>
      <top style="thin">
        <color rgb="FFB7C2CC"/>
      </top>
      <bottom style="thin">
        <color rgb="FFB7C2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true" indent="0" shrinkToFit="false"/>
      <protection locked="true" hidden="false"/>
    </xf>
    <xf numFmtId="164" fontId="5" fillId="3" borderId="0" xfId="0" applyFont="true" applyBorder="true" applyAlignment="true" applyProtection="false">
      <alignment horizontal="left" vertical="center" textRotation="0" wrapText="true" indent="0" shrinkToFit="false"/>
      <protection locked="true" hidden="false"/>
    </xf>
    <xf numFmtId="164" fontId="6" fillId="4" borderId="0" xfId="0" applyFont="true" applyBorder="true" applyAlignment="true" applyProtection="false">
      <alignment horizontal="left" vertical="center" textRotation="0" wrapText="tru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5" fontId="8" fillId="5" borderId="1"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left" vertical="center" textRotation="0" wrapText="true" indent="0" shrinkToFit="false"/>
      <protection locked="true" hidden="false"/>
    </xf>
    <xf numFmtId="166" fontId="8" fillId="5" borderId="1" xfId="0" applyFont="true" applyBorder="true" applyAlignment="true" applyProtection="false">
      <alignment horizontal="center" vertical="center" textRotation="0" wrapText="false" indent="0" shrinkToFit="false"/>
      <protection locked="true" hidden="false"/>
    </xf>
    <xf numFmtId="164" fontId="10" fillId="3"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6" fontId="11" fillId="0" borderId="1" xfId="0" applyFont="true" applyBorder="true" applyAlignment="true" applyProtection="false">
      <alignment horizontal="center" vertical="center" textRotation="0" wrapText="false" indent="0" shrinkToFit="false"/>
      <protection locked="true" hidden="false"/>
    </xf>
    <xf numFmtId="165" fontId="11" fillId="0" borderId="1" xfId="0" applyFont="tru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center" vertical="center" textRotation="0" wrapText="false" indent="0" shrinkToFit="false"/>
      <protection locked="true" hidden="false"/>
    </xf>
    <xf numFmtId="164" fontId="14" fillId="6" borderId="1" xfId="0" applyFont="true" applyBorder="true" applyAlignment="false" applyProtection="false">
      <alignment horizontal="general" vertical="bottom" textRotation="0" wrapText="false" indent="0" shrinkToFit="false"/>
      <protection locked="true" hidden="false"/>
    </xf>
    <xf numFmtId="166" fontId="14" fillId="6" borderId="1" xfId="0" applyFont="true" applyBorder="true" applyAlignment="true" applyProtection="false">
      <alignment horizontal="center" vertical="center" textRotation="0" wrapText="false" indent="0" shrinkToFit="false"/>
      <protection locked="true" hidden="false"/>
    </xf>
    <xf numFmtId="165" fontId="14" fillId="6" borderId="1" xfId="0" applyFont="true" applyBorder="true" applyAlignment="true" applyProtection="false">
      <alignment horizontal="center" vertical="center"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6" fontId="6" fillId="4" borderId="1" xfId="0" applyFont="true" applyBorder="true" applyAlignment="true" applyProtection="false">
      <alignment horizontal="center" vertical="center" textRotation="0" wrapText="false" indent="0" shrinkToFit="false"/>
      <protection locked="true" hidden="false"/>
    </xf>
    <xf numFmtId="165" fontId="6" fillId="4" borderId="1" xfId="0" applyFont="true" applyBorder="true" applyAlignment="true" applyProtection="false">
      <alignment horizontal="center" vertical="center"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center" vertical="center" textRotation="0" wrapText="false" indent="0" shrinkToFit="false"/>
      <protection locked="true" hidden="false"/>
    </xf>
    <xf numFmtId="164" fontId="15" fillId="0" borderId="0" xfId="0" applyFont="true" applyBorder="false" applyAlignment="true" applyProtection="false">
      <alignment horizontal="left" vertical="center" textRotation="0" wrapText="true" indent="0" shrinkToFit="false"/>
      <protection locked="true" hidden="false"/>
    </xf>
    <xf numFmtId="164" fontId="16" fillId="0" borderId="0" xfId="0" applyFont="true" applyBorder="false" applyAlignment="true" applyProtection="false">
      <alignment horizontal="left" vertical="center" textRotation="0" wrapText="true" indent="0" shrinkToFit="false"/>
      <protection locked="true" hidden="false"/>
    </xf>
    <xf numFmtId="166" fontId="16" fillId="0" borderId="0" xfId="0" applyFont="true" applyBorder="false" applyAlignment="true" applyProtection="false">
      <alignment horizontal="center" vertical="center" textRotation="0" wrapText="false" indent="0" shrinkToFit="false"/>
      <protection locked="true" hidden="false"/>
    </xf>
    <xf numFmtId="165" fontId="16" fillId="0" borderId="0" xfId="0" applyFont="true" applyBorder="false" applyAlignment="true" applyProtection="false">
      <alignment horizontal="center" vertical="center" textRotation="0" wrapText="false" indent="0" shrinkToFit="false"/>
      <protection locked="true" hidden="false"/>
    </xf>
    <xf numFmtId="164" fontId="17" fillId="0" borderId="0" xfId="0" applyFont="true" applyBorder="true" applyAlignment="true" applyProtection="false">
      <alignment horizontal="left" vertical="top" textRotation="0" wrapText="true" indent="0" shrinkToFit="false"/>
      <protection locked="true" hidden="false"/>
    </xf>
    <xf numFmtId="164" fontId="18" fillId="2" borderId="0" xfId="0" applyFont="true" applyBorder="true" applyAlignment="true" applyProtection="false">
      <alignment horizontal="left" vertical="center" textRotation="0" wrapText="true" indent="0" shrinkToFit="false"/>
      <protection locked="true" hidden="false"/>
    </xf>
    <xf numFmtId="164" fontId="19" fillId="0" borderId="0" xfId="0" applyFont="true" applyBorder="true" applyAlignment="true" applyProtection="false">
      <alignment horizontal="left" vertical="center" textRotation="0" wrapText="true" indent="0" shrinkToFit="false"/>
      <protection locked="true" hidden="false"/>
    </xf>
    <xf numFmtId="164" fontId="17" fillId="0" borderId="1" xfId="0" applyFont="true" applyBorder="true" applyAlignment="true" applyProtection="false">
      <alignment horizontal="center" vertical="center" textRotation="0" wrapText="false" indent="0" shrinkToFit="false"/>
      <protection locked="true" hidden="false"/>
    </xf>
    <xf numFmtId="164" fontId="17" fillId="0" borderId="1" xfId="0" applyFont="true" applyBorder="true" applyAlignment="true" applyProtection="false">
      <alignment horizontal="left" vertical="center" textRotation="0" wrapText="true" indent="0" shrinkToFit="false"/>
      <protection locked="true" hidden="false"/>
    </xf>
    <xf numFmtId="164" fontId="17" fillId="7" borderId="1" xfId="0" applyFont="true" applyBorder="true" applyAlignment="true" applyProtection="false">
      <alignment horizontal="center" vertical="center" textRotation="0" wrapText="false" indent="0" shrinkToFit="false"/>
      <protection locked="true" hidden="false"/>
    </xf>
    <xf numFmtId="164" fontId="17" fillId="8" borderId="1" xfId="0" applyFont="true" applyBorder="true" applyAlignment="true" applyProtection="false">
      <alignment horizontal="center" vertical="center" textRotation="0" wrapText="false" indent="0" shrinkToFit="false"/>
      <protection locked="true" hidden="false"/>
    </xf>
    <xf numFmtId="164" fontId="17" fillId="8" borderId="1" xfId="0" applyFont="true" applyBorder="true" applyAlignment="true" applyProtection="false">
      <alignment horizontal="left" vertical="center" textRotation="0" wrapText="true" indent="0" shrinkToFit="false"/>
      <protection locked="true" hidden="false"/>
    </xf>
    <xf numFmtId="164" fontId="20" fillId="9" borderId="1" xfId="0" applyFont="true" applyBorder="true" applyAlignment="true" applyProtection="false">
      <alignment horizontal="center" vertical="center" textRotation="0" wrapText="false" indent="0" shrinkToFit="false"/>
      <protection locked="true" hidden="false"/>
    </xf>
    <xf numFmtId="164" fontId="21" fillId="3" borderId="1" xfId="0" applyFont="true" applyBorder="true" applyAlignment="true" applyProtection="false">
      <alignment horizontal="center" vertical="center" textRotation="0" wrapText="true" indent="0" shrinkToFit="false"/>
      <protection locked="true" hidden="false"/>
    </xf>
    <xf numFmtId="165" fontId="17" fillId="0" borderId="1" xfId="0" applyFont="true" applyBorder="true" applyAlignment="true" applyProtection="false">
      <alignment horizontal="center" vertical="center" textRotation="0" wrapText="false" indent="0" shrinkToFit="false"/>
      <protection locked="true" hidden="false"/>
    </xf>
    <xf numFmtId="165" fontId="22" fillId="5" borderId="1" xfId="0" applyFont="true" applyBorder="true" applyAlignment="true" applyProtection="false">
      <alignment horizontal="center" vertical="center" textRotation="0" wrapText="false" indent="0" shrinkToFit="false"/>
      <protection locked="true" hidden="false"/>
    </xf>
    <xf numFmtId="166" fontId="17" fillId="0" borderId="1" xfId="0" applyFont="true" applyBorder="true" applyAlignment="true" applyProtection="false">
      <alignment horizontal="center" vertical="center" textRotation="0" wrapText="false" indent="0" shrinkToFit="false"/>
      <protection locked="true" hidden="false"/>
    </xf>
    <xf numFmtId="167" fontId="23" fillId="0" borderId="1" xfId="0" applyFont="true" applyBorder="true" applyAlignment="true" applyProtection="false">
      <alignment horizontal="center" vertical="center" textRotation="0" wrapText="false" indent="0" shrinkToFit="false"/>
      <protection locked="true" hidden="false"/>
    </xf>
    <xf numFmtId="164" fontId="24" fillId="6" borderId="1" xfId="0" applyFont="true" applyBorder="true" applyAlignment="false" applyProtection="false">
      <alignment horizontal="general" vertical="bottom" textRotation="0" wrapText="false" indent="0" shrinkToFit="false"/>
      <protection locked="true" hidden="false"/>
    </xf>
    <xf numFmtId="165" fontId="24" fillId="6" borderId="1" xfId="0" applyFont="true" applyBorder="true" applyAlignment="true" applyProtection="false">
      <alignment horizontal="center" vertical="center" textRotation="0" wrapText="false" indent="0" shrinkToFit="false"/>
      <protection locked="true" hidden="false"/>
    </xf>
    <xf numFmtId="167" fontId="23" fillId="6" borderId="1" xfId="0" applyFont="true" applyBorder="true" applyAlignment="true" applyProtection="false">
      <alignment horizontal="center" vertical="center" textRotation="0" wrapText="false" indent="0" shrinkToFit="false"/>
      <protection locked="true" hidden="false"/>
    </xf>
    <xf numFmtId="165" fontId="24" fillId="0"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25" fillId="4" borderId="0" xfId="0" applyFont="true" applyBorder="true" applyAlignment="true" applyProtection="false">
      <alignment horizontal="left" vertical="center" textRotation="0" wrapText="true" indent="0" shrinkToFit="false"/>
      <protection locked="true" hidden="false"/>
    </xf>
    <xf numFmtId="164" fontId="26" fillId="4" borderId="0" xfId="0" applyFont="true" applyBorder="false" applyAlignment="true" applyProtection="false">
      <alignment horizontal="right" vertical="center" textRotation="0" wrapText="false" indent="0" shrinkToFit="false"/>
      <protection locked="true" hidden="false"/>
    </xf>
    <xf numFmtId="166" fontId="27" fillId="4" borderId="0" xfId="0" applyFont="true" applyBorder="false" applyAlignment="true" applyProtection="false">
      <alignment horizontal="center" vertical="center"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28" fillId="0" borderId="1" xfId="0" applyFont="true" applyBorder="true" applyAlignment="true" applyProtection="false">
      <alignment horizontal="left" vertical="center" textRotation="0" wrapText="true" indent="0" shrinkToFit="false"/>
      <protection locked="true" hidden="false"/>
    </xf>
    <xf numFmtId="164" fontId="29" fillId="0" borderId="1" xfId="0" applyFont="true" applyBorder="true" applyAlignment="true" applyProtection="false">
      <alignment horizontal="center" vertical="center"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24" fillId="6" borderId="0" xfId="0" applyFont="true" applyBorder="false" applyAlignment="true" applyProtection="false">
      <alignment horizontal="right" vertical="center" textRotation="0" wrapText="false" indent="0" shrinkToFit="false"/>
      <protection locked="true" hidden="false"/>
    </xf>
    <xf numFmtId="165" fontId="24" fillId="6" borderId="0" xfId="0" applyFont="true" applyBorder="false" applyAlignment="true" applyProtection="false">
      <alignment horizontal="center" vertical="center" textRotation="0" wrapText="false" indent="0" shrinkToFit="false"/>
      <protection locked="true" hidden="false"/>
    </xf>
    <xf numFmtId="166" fontId="24" fillId="6" borderId="0" xfId="0" applyFont="true" applyBorder="false" applyAlignment="true" applyProtection="false">
      <alignment horizontal="center" vertical="center" textRotation="0" wrapText="false" indent="0" shrinkToFit="false"/>
      <protection locked="true" hidden="false"/>
    </xf>
    <xf numFmtId="164" fontId="28" fillId="8" borderId="1" xfId="0" applyFont="true" applyBorder="true" applyAlignment="true" applyProtection="false">
      <alignment horizontal="left" vertical="center" textRotation="0" wrapText="true" indent="0" shrinkToFit="false"/>
      <protection locked="true" hidden="false"/>
    </xf>
    <xf numFmtId="165" fontId="17" fillId="8" borderId="1" xfId="0" applyFont="true" applyBorder="true" applyAlignment="true" applyProtection="false">
      <alignment horizontal="center" vertical="center" textRotation="0" wrapText="false" indent="0" shrinkToFit="false"/>
      <protection locked="true" hidden="false"/>
    </xf>
    <xf numFmtId="166" fontId="17" fillId="8" borderId="1" xfId="0" applyFont="true" applyBorder="true" applyAlignment="true" applyProtection="false">
      <alignment horizontal="center" vertical="center" textRotation="0" wrapText="false" indent="0" shrinkToFit="false"/>
      <protection locked="true" hidden="false"/>
    </xf>
    <xf numFmtId="167" fontId="23" fillId="8" borderId="1" xfId="0" applyFont="true" applyBorder="true" applyAlignment="true" applyProtection="false">
      <alignment horizontal="center" vertical="center" textRotation="0" wrapText="false" indent="0" shrinkToFit="false"/>
      <protection locked="true" hidden="false"/>
    </xf>
    <xf numFmtId="164" fontId="20" fillId="0" borderId="1" xfId="0" applyFont="true" applyBorder="true" applyAlignment="true" applyProtection="false">
      <alignment horizontal="center" vertical="center" textRotation="0" wrapText="false" indent="0" shrinkToFit="false"/>
      <protection locked="true" hidden="false"/>
    </xf>
    <xf numFmtId="165" fontId="7" fillId="0" borderId="0" xfId="0" applyFont="true" applyBorder="false" applyAlignment="true" applyProtection="false">
      <alignment horizontal="center" vertical="center" textRotation="0" wrapText="false" indent="0" shrinkToFit="false"/>
      <protection locked="true" hidden="false"/>
    </xf>
    <xf numFmtId="164" fontId="30" fillId="0" borderId="0" xfId="0" applyFont="true" applyBorder="false" applyAlignment="true" applyProtection="false">
      <alignment horizontal="left" vertical="center" textRotation="0" wrapText="true" indent="0" shrinkToFit="false"/>
      <protection locked="true" hidden="false"/>
    </xf>
    <xf numFmtId="167" fontId="30" fillId="0" borderId="0" xfId="0" applyFont="true" applyBorder="false" applyAlignment="true" applyProtection="false">
      <alignment horizontal="center"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true" indent="0" shrinkToFit="false"/>
      <protection locked="true" hidden="false"/>
    </xf>
    <xf numFmtId="165" fontId="31" fillId="5" borderId="1" xfId="0" applyFont="true" applyBorder="true" applyAlignment="true" applyProtection="false">
      <alignment horizontal="center" vertical="center" textRotation="0" wrapText="false" indent="0" shrinkToFit="false"/>
      <protection locked="true" hidden="false"/>
    </xf>
    <xf numFmtId="164" fontId="32" fillId="0" borderId="0" xfId="0" applyFont="true" applyBorder="true" applyAlignment="true" applyProtection="false">
      <alignment horizontal="left" vertical="center" textRotation="0" wrapText="true" indent="0" shrinkToFit="false"/>
      <protection locked="true" hidden="false"/>
    </xf>
    <xf numFmtId="166" fontId="31" fillId="5" borderId="1" xfId="0" applyFont="true" applyBorder="true" applyAlignment="true" applyProtection="false">
      <alignment horizontal="center" vertical="center" textRotation="0" wrapText="false" indent="0" shrinkToFit="false"/>
      <protection locked="true" hidden="false"/>
    </xf>
    <xf numFmtId="164" fontId="24" fillId="10" borderId="1" xfId="0" applyFont="true" applyBorder="true" applyAlignment="true" applyProtection="false">
      <alignment horizontal="center" vertical="center" textRotation="0" wrapText="false" indent="0" shrinkToFit="false"/>
      <protection locked="true" hidden="false"/>
    </xf>
    <xf numFmtId="165" fontId="23" fillId="0"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4" fontId="33" fillId="0" borderId="1" xfId="0" applyFont="true" applyBorder="true" applyAlignment="true" applyProtection="false">
      <alignment horizontal="left" vertical="center" textRotation="0" wrapText="tru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64" fontId="29" fillId="0" borderId="1" xfId="0" applyFont="true" applyBorder="true" applyAlignment="true" applyProtection="false">
      <alignment horizontal="left" vertical="center" textRotation="0" wrapText="tru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5" fontId="25" fillId="0" borderId="0" xfId="0" applyFont="true" applyBorder="fals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B00020"/>
      <rgbColor rgb="FF107C10"/>
      <rgbColor rgb="FF000080"/>
      <rgbColor rgb="FF808000"/>
      <rgbColor rgb="FF800080"/>
      <rgbColor rgb="FF008080"/>
      <rgbColor rgb="FFB7C2CC"/>
      <rgbColor rgb="FF777777"/>
      <rgbColor rgb="FF9999FF"/>
      <rgbColor rgb="FF993366"/>
      <rgbColor rgb="FFFFF9E6"/>
      <rgbColor rgb="FFEAF1F8"/>
      <rgbColor rgb="FF660066"/>
      <rgbColor rgb="FFFF8080"/>
      <rgbColor rgb="FF0066CC"/>
      <rgbColor rgb="FFF2F4F6"/>
      <rgbColor rgb="FF000080"/>
      <rgbColor rgb="FFFF00FF"/>
      <rgbColor rgb="FFFFFF00"/>
      <rgbColor rgb="FF00FFFF"/>
      <rgbColor rgb="FF800080"/>
      <rgbColor rgb="FF800000"/>
      <rgbColor rgb="FF008080"/>
      <rgbColor rgb="FF0000FF"/>
      <rgbColor rgb="FF00CCFF"/>
      <rgbColor rgb="FFDCE6F1"/>
      <rgbColor rgb="FFD6ECD6"/>
      <rgbColor rgb="FFFCEFF0"/>
      <rgbColor rgb="FF99CCFF"/>
      <rgbColor rgb="FFFF99CC"/>
      <rgbColor rgb="FFCC99FF"/>
      <rgbColor rgb="FFF8D7DA"/>
      <rgbColor rgb="FF3366FF"/>
      <rgbColor rgb="FF33CCCC"/>
      <rgbColor rgb="FF99CC00"/>
      <rgbColor rgb="FFFFCC00"/>
      <rgbColor rgb="FFFF9900"/>
      <rgbColor rgb="FFFF6600"/>
      <rgbColor rgb="FF666666"/>
      <rgbColor rgb="FF999999"/>
      <rgbColor rgb="FF1F3A5F"/>
      <rgbColor rgb="FF339966"/>
      <rgbColor rgb="FF003300"/>
      <rgbColor rgb="FF333300"/>
      <rgbColor rgb="FF993300"/>
      <rgbColor rgb="FF993366"/>
      <rgbColor rgb="FF2E5A8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6" min="3" style="0" width="16"/>
    <col collapsed="false" customWidth="true" hidden="false" outlineLevel="0" max="7" min="7" style="0" width="3"/>
  </cols>
  <sheetData>
    <row r="1" customFormat="false" ht="30" hidden="false" customHeight="true" outlineLevel="0" collapsed="false">
      <c r="B1" s="1" t="s">
        <v>0</v>
      </c>
      <c r="C1" s="1"/>
      <c r="D1" s="1"/>
      <c r="E1" s="1"/>
      <c r="F1" s="1"/>
    </row>
    <row r="2" customFormat="false" ht="19.5" hidden="false" customHeight="true" outlineLevel="0" collapsed="false">
      <c r="B2" s="2" t="s">
        <v>1</v>
      </c>
      <c r="C2" s="2"/>
      <c r="D2" s="2"/>
      <c r="E2" s="2"/>
      <c r="F2" s="2"/>
    </row>
    <row r="4" customFormat="false" ht="19.5" hidden="false" customHeight="true" outlineLevel="0" collapsed="false">
      <c r="B4" s="3" t="s">
        <v>2</v>
      </c>
      <c r="C4" s="3"/>
      <c r="D4" s="3"/>
      <c r="E4" s="3"/>
      <c r="F4" s="3"/>
    </row>
    <row r="5" customFormat="false" ht="32.8" hidden="false" customHeight="false" outlineLevel="0" collapsed="false">
      <c r="B5" s="4" t="s">
        <v>3</v>
      </c>
      <c r="C5" s="5" t="n">
        <v>305</v>
      </c>
      <c r="D5" s="6" t="s">
        <v>4</v>
      </c>
    </row>
    <row r="6" customFormat="false" ht="43.25" hidden="false" customHeight="false" outlineLevel="0" collapsed="false">
      <c r="B6" s="4" t="s">
        <v>5</v>
      </c>
      <c r="C6" s="7" t="n">
        <v>1.26</v>
      </c>
      <c r="D6" s="6" t="s">
        <v>6</v>
      </c>
    </row>
    <row r="8" customFormat="false" ht="19.5" hidden="false" customHeight="true" outlineLevel="0" collapsed="false">
      <c r="B8" s="3" t="s">
        <v>7</v>
      </c>
      <c r="C8" s="3"/>
      <c r="D8" s="3"/>
      <c r="E8" s="3"/>
      <c r="F8" s="3"/>
    </row>
    <row r="9" customFormat="false" ht="15" hidden="false" customHeight="false" outlineLevel="0" collapsed="false">
      <c r="B9" s="8" t="s">
        <v>8</v>
      </c>
      <c r="C9" s="8" t="s">
        <v>9</v>
      </c>
      <c r="D9" s="8" t="s">
        <v>10</v>
      </c>
      <c r="E9" s="8" t="s">
        <v>11</v>
      </c>
      <c r="F9" s="8" t="s">
        <v>12</v>
      </c>
    </row>
    <row r="10" customFormat="false" ht="15" hidden="false" customHeight="false" outlineLevel="0" collapsed="false">
      <c r="B10" s="9" t="s">
        <v>13</v>
      </c>
      <c r="C10" s="10" t="n">
        <v>828</v>
      </c>
      <c r="D10" s="11" t="n">
        <f aca="false">C10*Summary!$C$5</f>
        <v>252540</v>
      </c>
      <c r="E10" s="11" t="n">
        <f aca="false">D10*Summary!$C$6</f>
        <v>318200.4</v>
      </c>
      <c r="F10" s="12" t="s">
        <v>14</v>
      </c>
    </row>
    <row r="11" customFormat="false" ht="15" hidden="false" customHeight="false" outlineLevel="0" collapsed="false">
      <c r="B11" s="9" t="s">
        <v>15</v>
      </c>
      <c r="C11" s="10" t="n">
        <v>1032</v>
      </c>
      <c r="D11" s="11" t="n">
        <f aca="false">C11*Summary!$C$5</f>
        <v>314760</v>
      </c>
      <c r="E11" s="11" t="n">
        <f aca="false">D11*Summary!$C$6</f>
        <v>396597.6</v>
      </c>
      <c r="F11" s="12" t="s">
        <v>14</v>
      </c>
    </row>
    <row r="12" customFormat="false" ht="15" hidden="false" customHeight="false" outlineLevel="0" collapsed="false">
      <c r="B12" s="9" t="s">
        <v>16</v>
      </c>
      <c r="C12" s="10" t="n">
        <v>70</v>
      </c>
      <c r="D12" s="11" t="n">
        <f aca="false">C12*Summary!$C$5</f>
        <v>21350</v>
      </c>
      <c r="E12" s="11" t="n">
        <f aca="false">D12*Summary!$C$6</f>
        <v>26901</v>
      </c>
      <c r="F12" s="12" t="s">
        <v>14</v>
      </c>
    </row>
    <row r="13" customFormat="false" ht="15" hidden="false" customHeight="false" outlineLevel="0" collapsed="false">
      <c r="B13" s="9" t="s">
        <v>17</v>
      </c>
      <c r="C13" s="10" t="n">
        <v>120</v>
      </c>
      <c r="D13" s="11" t="n">
        <f aca="false">C13*Summary!$C$5</f>
        <v>36600</v>
      </c>
      <c r="E13" s="11" t="n">
        <f aca="false">D13*Summary!$C$6</f>
        <v>46116</v>
      </c>
      <c r="F13" s="12" t="s">
        <v>14</v>
      </c>
    </row>
    <row r="14" customFormat="false" ht="15" hidden="false" customHeight="false" outlineLevel="0" collapsed="false">
      <c r="B14" s="9" t="s">
        <v>18</v>
      </c>
      <c r="C14" s="10" t="n">
        <v>4700</v>
      </c>
      <c r="D14" s="11" t="n">
        <f aca="false">C14*Summary!$C$5</f>
        <v>1433500</v>
      </c>
      <c r="E14" s="11" t="n">
        <f aca="false">D14*Summary!$C$6</f>
        <v>1806210</v>
      </c>
      <c r="F14" s="12" t="s">
        <v>14</v>
      </c>
    </row>
    <row r="15" customFormat="false" ht="15" hidden="false" customHeight="false" outlineLevel="0" collapsed="false">
      <c r="B15" s="9" t="s">
        <v>19</v>
      </c>
      <c r="C15" s="10" t="n">
        <v>1165.29</v>
      </c>
      <c r="D15" s="11" t="n">
        <f aca="false">C15*Summary!$C$5</f>
        <v>355413.45</v>
      </c>
      <c r="E15" s="11" t="n">
        <f aca="false">D15*Summary!$C$6</f>
        <v>447820.947</v>
      </c>
      <c r="F15" s="12" t="s">
        <v>14</v>
      </c>
    </row>
    <row r="16" customFormat="false" ht="15" hidden="false" customHeight="false" outlineLevel="0" collapsed="false">
      <c r="B16" s="9" t="s">
        <v>20</v>
      </c>
      <c r="C16" s="10" t="n">
        <v>1700</v>
      </c>
      <c r="D16" s="11" t="n">
        <f aca="false">C16*Summary!$C$5</f>
        <v>518500</v>
      </c>
      <c r="E16" s="11" t="n">
        <f aca="false">D16*Summary!$C$6</f>
        <v>653310</v>
      </c>
      <c r="F16" s="12" t="s">
        <v>14</v>
      </c>
    </row>
    <row r="17" customFormat="false" ht="15" hidden="false" customHeight="false" outlineLevel="0" collapsed="false">
      <c r="B17" s="9" t="s">
        <v>21</v>
      </c>
      <c r="C17" s="10" t="n">
        <v>8940</v>
      </c>
      <c r="D17" s="11" t="n">
        <f aca="false">C17*Summary!$C$5</f>
        <v>2726700</v>
      </c>
      <c r="E17" s="11" t="n">
        <f aca="false">D17*Summary!$C$6</f>
        <v>3435642</v>
      </c>
      <c r="F17" s="13" t="s">
        <v>22</v>
      </c>
    </row>
    <row r="18" customFormat="false" ht="15" hidden="false" customHeight="false" outlineLevel="0" collapsed="false">
      <c r="B18" s="9" t="s">
        <v>23</v>
      </c>
      <c r="C18" s="10" t="n">
        <v>2500</v>
      </c>
      <c r="D18" s="11" t="n">
        <f aca="false">C18*Summary!$C$5</f>
        <v>762500</v>
      </c>
      <c r="E18" s="11" t="n">
        <f aca="false">D18*Summary!$C$6</f>
        <v>960750</v>
      </c>
      <c r="F18" s="13" t="s">
        <v>22</v>
      </c>
    </row>
    <row r="19" customFormat="false" ht="15" hidden="false" customHeight="false" outlineLevel="0" collapsed="false">
      <c r="B19" s="14" t="s">
        <v>24</v>
      </c>
      <c r="C19" s="15" t="n">
        <f aca="false">SUM(C10:C18)</f>
        <v>21055.29</v>
      </c>
      <c r="D19" s="16" t="n">
        <f aca="false">SUM(D10:D18)</f>
        <v>6421863.45</v>
      </c>
      <c r="E19" s="16" t="n">
        <f aca="false">SUM(E10:E18)</f>
        <v>8091547.947</v>
      </c>
      <c r="F19" s="17"/>
    </row>
    <row r="20" customFormat="false" ht="15" hidden="false" customHeight="false" outlineLevel="0" collapsed="false">
      <c r="B20" s="18" t="s">
        <v>25</v>
      </c>
      <c r="C20" s="19" t="n">
        <f aca="false">SUMIF($F$10:$F$18,"Yes",$C$10:$C$18)</f>
        <v>9615.29</v>
      </c>
      <c r="D20" s="20" t="n">
        <f aca="false">C20*Summary!$C$5</f>
        <v>2932663.45</v>
      </c>
      <c r="E20" s="20" t="n">
        <f aca="false">D20*Summary!$C$6</f>
        <v>3695155.947</v>
      </c>
      <c r="F20" s="21"/>
    </row>
    <row r="22" customFormat="false" ht="19.5" hidden="false" customHeight="true" outlineLevel="0" collapsed="false">
      <c r="B22" s="3" t="s">
        <v>26</v>
      </c>
      <c r="C22" s="3"/>
      <c r="D22" s="3"/>
      <c r="E22" s="3"/>
      <c r="F22" s="3"/>
    </row>
    <row r="23" customFormat="false" ht="15" hidden="false" customHeight="false" outlineLevel="0" collapsed="false">
      <c r="B23" s="4" t="s">
        <v>27</v>
      </c>
      <c r="C23" s="22" t="n">
        <v>84</v>
      </c>
    </row>
    <row r="24" customFormat="false" ht="23.85" hidden="false" customHeight="false" outlineLevel="0" collapsed="false">
      <c r="B24" s="23" t="s">
        <v>28</v>
      </c>
      <c r="C24" s="24" t="s">
        <v>29</v>
      </c>
    </row>
    <row r="25" customFormat="false" ht="15" hidden="false" customHeight="false" outlineLevel="0" collapsed="false">
      <c r="B25" s="23" t="s">
        <v>30</v>
      </c>
      <c r="C25" s="25" t="n">
        <f aca="false">'Not received'!$G$12</f>
        <v>1946.16216216216</v>
      </c>
    </row>
    <row r="26" customFormat="false" ht="23.85" hidden="false" customHeight="false" outlineLevel="0" collapsed="false">
      <c r="B26" s="23" t="s">
        <v>31</v>
      </c>
      <c r="C26" s="26" t="n">
        <f aca="false">C25*Summary!$C$5*Summary!$C$6</f>
        <v>747910.118918919</v>
      </c>
    </row>
    <row r="28" customFormat="false" ht="19.5" hidden="false" customHeight="true" outlineLevel="0" collapsed="false">
      <c r="B28" s="3" t="s">
        <v>32</v>
      </c>
      <c r="C28" s="3"/>
      <c r="D28" s="3"/>
      <c r="E28" s="3"/>
      <c r="F28" s="3"/>
    </row>
    <row r="29" customFormat="false" ht="27.75" hidden="false" customHeight="true" outlineLevel="0" collapsed="false">
      <c r="B29" s="27" t="s">
        <v>33</v>
      </c>
      <c r="C29" s="27"/>
      <c r="D29" s="27"/>
      <c r="E29" s="27"/>
      <c r="F29" s="27"/>
    </row>
    <row r="30" customFormat="false" ht="27.75" hidden="false" customHeight="true" outlineLevel="0" collapsed="false">
      <c r="B30" s="27" t="s">
        <v>34</v>
      </c>
      <c r="C30" s="27"/>
      <c r="D30" s="27"/>
      <c r="E30" s="27"/>
      <c r="F30" s="27"/>
    </row>
    <row r="31" customFormat="false" ht="27.75" hidden="false" customHeight="true" outlineLevel="0" collapsed="false">
      <c r="B31" s="27" t="s">
        <v>35</v>
      </c>
      <c r="C31" s="27"/>
      <c r="D31" s="27"/>
      <c r="E31" s="27"/>
      <c r="F31" s="27"/>
    </row>
    <row r="32" customFormat="false" ht="27.75" hidden="false" customHeight="true" outlineLevel="0" collapsed="false">
      <c r="B32" s="27" t="s">
        <v>36</v>
      </c>
      <c r="C32" s="27"/>
      <c r="D32" s="27"/>
      <c r="E32" s="27"/>
      <c r="F32" s="27"/>
    </row>
  </sheetData>
  <mergeCells count="10">
    <mergeCell ref="B1:F1"/>
    <mergeCell ref="B2:F2"/>
    <mergeCell ref="B4:F4"/>
    <mergeCell ref="B8:F8"/>
    <mergeCell ref="B22:F22"/>
    <mergeCell ref="B28:F28"/>
    <mergeCell ref="B29:F29"/>
    <mergeCell ref="B30:F30"/>
    <mergeCell ref="B31:F31"/>
    <mergeCell ref="B32:F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2"/>
    <col collapsed="false" customWidth="true" hidden="false" outlineLevel="0" max="3" min="3" style="0" width="14"/>
    <col collapsed="false" customWidth="true" hidden="false" outlineLevel="0" max="4" min="4" style="0" width="15"/>
    <col collapsed="false" customWidth="true" hidden="false" outlineLevel="0" max="5" min="5" style="0" width="46"/>
    <col collapsed="false" customWidth="true" hidden="false" outlineLevel="0" max="6" min="6" style="0" width="11"/>
    <col collapsed="false" customWidth="true" hidden="false" outlineLevel="0" max="7" min="7" style="0" width="7"/>
    <col collapsed="false" customWidth="true" hidden="false" outlineLevel="0" max="8" min="8" style="0" width="6"/>
    <col collapsed="false" customWidth="true" hidden="false" outlineLevel="0" max="9" min="9" style="0" width="11"/>
    <col collapsed="false" customWidth="true" hidden="false" outlineLevel="0" max="10" min="10" style="0" width="13"/>
  </cols>
  <sheetData>
    <row r="1" customFormat="false" ht="25.5" hidden="false" customHeight="true" outlineLevel="0" collapsed="false">
      <c r="A1" s="28" t="s">
        <v>37</v>
      </c>
      <c r="B1" s="28"/>
      <c r="C1" s="28"/>
      <c r="D1" s="28"/>
      <c r="E1" s="28"/>
      <c r="F1" s="28"/>
      <c r="G1" s="28"/>
      <c r="H1" s="28"/>
      <c r="I1" s="28"/>
      <c r="J1" s="28"/>
    </row>
    <row r="2" customFormat="false" ht="15" hidden="false" customHeight="true" outlineLevel="0" collapsed="false">
      <c r="A2" s="29" t="s">
        <v>38</v>
      </c>
      <c r="B2" s="29"/>
      <c r="C2" s="29"/>
      <c r="D2" s="29"/>
      <c r="E2" s="29"/>
      <c r="F2" s="29"/>
      <c r="G2" s="29"/>
      <c r="H2" s="29"/>
      <c r="I2" s="29"/>
      <c r="J2" s="29"/>
    </row>
    <row r="4" customFormat="false" ht="15" hidden="false" customHeight="false" outlineLevel="0" collapsed="false">
      <c r="A4" s="8" t="s">
        <v>22</v>
      </c>
      <c r="B4" s="8" t="s">
        <v>39</v>
      </c>
      <c r="C4" s="8" t="s">
        <v>40</v>
      </c>
      <c r="D4" s="8" t="s">
        <v>41</v>
      </c>
      <c r="E4" s="8" t="s">
        <v>42</v>
      </c>
      <c r="F4" s="8" t="s">
        <v>43</v>
      </c>
      <c r="G4" s="8" t="s">
        <v>44</v>
      </c>
      <c r="H4" s="8" t="s">
        <v>45</v>
      </c>
      <c r="I4" s="8" t="s">
        <v>46</v>
      </c>
      <c r="J4" s="8" t="s">
        <v>47</v>
      </c>
    </row>
    <row r="5" customFormat="false" ht="15" hidden="false" customHeight="false" outlineLevel="0" collapsed="false">
      <c r="A5" s="30" t="n">
        <v>1</v>
      </c>
      <c r="B5" s="30" t="s">
        <v>48</v>
      </c>
      <c r="C5" s="30" t="s">
        <v>49</v>
      </c>
      <c r="D5" s="30" t="s">
        <v>50</v>
      </c>
      <c r="E5" s="31" t="s">
        <v>51</v>
      </c>
      <c r="F5" s="30" t="s">
        <v>52</v>
      </c>
      <c r="G5" s="30" t="n">
        <v>200</v>
      </c>
      <c r="H5" s="30" t="s">
        <v>53</v>
      </c>
      <c r="I5" s="32" t="s">
        <v>14</v>
      </c>
      <c r="J5" s="30" t="s">
        <v>54</v>
      </c>
    </row>
    <row r="6" customFormat="false" ht="15" hidden="false" customHeight="false" outlineLevel="0" collapsed="false">
      <c r="A6" s="30" t="n">
        <v>2</v>
      </c>
      <c r="B6" s="30" t="s">
        <v>48</v>
      </c>
      <c r="C6" s="30" t="s">
        <v>49</v>
      </c>
      <c r="D6" s="30" t="s">
        <v>50</v>
      </c>
      <c r="E6" s="31" t="s">
        <v>55</v>
      </c>
      <c r="F6" s="30" t="s">
        <v>56</v>
      </c>
      <c r="G6" s="30" t="n">
        <v>200</v>
      </c>
      <c r="H6" s="30" t="s">
        <v>53</v>
      </c>
      <c r="I6" s="32" t="s">
        <v>14</v>
      </c>
      <c r="J6" s="30" t="s">
        <v>54</v>
      </c>
    </row>
    <row r="7" customFormat="false" ht="15" hidden="false" customHeight="false" outlineLevel="0" collapsed="false">
      <c r="A7" s="30" t="n">
        <v>3</v>
      </c>
      <c r="B7" s="30" t="s">
        <v>48</v>
      </c>
      <c r="C7" s="30" t="s">
        <v>49</v>
      </c>
      <c r="D7" s="30" t="s">
        <v>50</v>
      </c>
      <c r="E7" s="31" t="s">
        <v>57</v>
      </c>
      <c r="F7" s="30" t="s">
        <v>58</v>
      </c>
      <c r="G7" s="30" t="n">
        <v>200</v>
      </c>
      <c r="H7" s="30" t="s">
        <v>53</v>
      </c>
      <c r="I7" s="32" t="s">
        <v>14</v>
      </c>
      <c r="J7" s="30" t="s">
        <v>54</v>
      </c>
    </row>
    <row r="8" customFormat="false" ht="15" hidden="false" customHeight="false" outlineLevel="0" collapsed="false">
      <c r="A8" s="30" t="n">
        <v>4</v>
      </c>
      <c r="B8" s="30" t="s">
        <v>48</v>
      </c>
      <c r="C8" s="30" t="s">
        <v>59</v>
      </c>
      <c r="D8" s="30" t="s">
        <v>50</v>
      </c>
      <c r="E8" s="31" t="s">
        <v>60</v>
      </c>
      <c r="F8" s="30" t="s">
        <v>52</v>
      </c>
      <c r="G8" s="30" t="n">
        <v>200</v>
      </c>
      <c r="H8" s="30" t="s">
        <v>53</v>
      </c>
      <c r="I8" s="32" t="s">
        <v>14</v>
      </c>
      <c r="J8" s="30" t="s">
        <v>54</v>
      </c>
    </row>
    <row r="9" customFormat="false" ht="15" hidden="false" customHeight="false" outlineLevel="0" collapsed="false">
      <c r="A9" s="30" t="n">
        <v>5</v>
      </c>
      <c r="B9" s="30" t="s">
        <v>48</v>
      </c>
      <c r="C9" s="30" t="s">
        <v>59</v>
      </c>
      <c r="D9" s="30" t="s">
        <v>50</v>
      </c>
      <c r="E9" s="31" t="s">
        <v>61</v>
      </c>
      <c r="F9" s="30" t="s">
        <v>56</v>
      </c>
      <c r="G9" s="30" t="n">
        <v>200</v>
      </c>
      <c r="H9" s="30" t="s">
        <v>53</v>
      </c>
      <c r="I9" s="32" t="s">
        <v>14</v>
      </c>
      <c r="J9" s="30" t="s">
        <v>54</v>
      </c>
    </row>
    <row r="10" customFormat="false" ht="15" hidden="false" customHeight="false" outlineLevel="0" collapsed="false">
      <c r="A10" s="30" t="n">
        <v>6</v>
      </c>
      <c r="B10" s="30" t="s">
        <v>48</v>
      </c>
      <c r="C10" s="30" t="s">
        <v>59</v>
      </c>
      <c r="D10" s="30" t="s">
        <v>50</v>
      </c>
      <c r="E10" s="31" t="s">
        <v>62</v>
      </c>
      <c r="F10" s="30" t="s">
        <v>58</v>
      </c>
      <c r="G10" s="30" t="n">
        <v>200</v>
      </c>
      <c r="H10" s="30" t="s">
        <v>53</v>
      </c>
      <c r="I10" s="32" t="s">
        <v>14</v>
      </c>
      <c r="J10" s="30" t="s">
        <v>54</v>
      </c>
    </row>
    <row r="11" customFormat="false" ht="15" hidden="false" customHeight="false" outlineLevel="0" collapsed="false">
      <c r="A11" s="30" t="n">
        <v>7</v>
      </c>
      <c r="B11" s="30" t="s">
        <v>48</v>
      </c>
      <c r="C11" s="30" t="s">
        <v>59</v>
      </c>
      <c r="D11" s="30" t="s">
        <v>50</v>
      </c>
      <c r="E11" s="31" t="s">
        <v>63</v>
      </c>
      <c r="F11" s="30" t="s">
        <v>64</v>
      </c>
      <c r="G11" s="30" t="n">
        <v>200</v>
      </c>
      <c r="H11" s="30" t="s">
        <v>53</v>
      </c>
      <c r="I11" s="32" t="s">
        <v>14</v>
      </c>
      <c r="J11" s="30" t="s">
        <v>54</v>
      </c>
    </row>
    <row r="12" customFormat="false" ht="15" hidden="false" customHeight="false" outlineLevel="0" collapsed="false">
      <c r="A12" s="30" t="n">
        <v>8</v>
      </c>
      <c r="B12" s="30" t="s">
        <v>48</v>
      </c>
      <c r="C12" s="30" t="s">
        <v>59</v>
      </c>
      <c r="D12" s="30" t="s">
        <v>50</v>
      </c>
      <c r="E12" s="31" t="s">
        <v>65</v>
      </c>
      <c r="F12" s="30" t="s">
        <v>66</v>
      </c>
      <c r="G12" s="30" t="n">
        <v>200</v>
      </c>
      <c r="H12" s="30" t="s">
        <v>53</v>
      </c>
      <c r="I12" s="32" t="s">
        <v>14</v>
      </c>
      <c r="J12" s="30" t="s">
        <v>54</v>
      </c>
    </row>
    <row r="13" customFormat="false" ht="15" hidden="false" customHeight="false" outlineLevel="0" collapsed="false">
      <c r="A13" s="30" t="n">
        <v>9</v>
      </c>
      <c r="B13" s="30" t="s">
        <v>48</v>
      </c>
      <c r="C13" s="30" t="s">
        <v>59</v>
      </c>
      <c r="D13" s="30" t="s">
        <v>50</v>
      </c>
      <c r="E13" s="31" t="s">
        <v>67</v>
      </c>
      <c r="F13" s="30" t="s">
        <v>68</v>
      </c>
      <c r="G13" s="30" t="n">
        <v>200</v>
      </c>
      <c r="H13" s="30" t="s">
        <v>53</v>
      </c>
      <c r="I13" s="32" t="s">
        <v>14</v>
      </c>
      <c r="J13" s="30" t="s">
        <v>54</v>
      </c>
    </row>
    <row r="14" customFormat="false" ht="15" hidden="false" customHeight="false" outlineLevel="0" collapsed="false">
      <c r="A14" s="30" t="n">
        <v>10</v>
      </c>
      <c r="B14" s="30" t="s">
        <v>48</v>
      </c>
      <c r="C14" s="30" t="s">
        <v>59</v>
      </c>
      <c r="D14" s="30" t="s">
        <v>50</v>
      </c>
      <c r="E14" s="31" t="s">
        <v>69</v>
      </c>
      <c r="F14" s="30" t="s">
        <v>70</v>
      </c>
      <c r="G14" s="30" t="n">
        <v>200</v>
      </c>
      <c r="H14" s="30" t="s">
        <v>53</v>
      </c>
      <c r="I14" s="32" t="s">
        <v>14</v>
      </c>
      <c r="J14" s="30" t="s">
        <v>54</v>
      </c>
    </row>
    <row r="15" customFormat="false" ht="15" hidden="false" customHeight="false" outlineLevel="0" collapsed="false">
      <c r="A15" s="30" t="n">
        <v>11</v>
      </c>
      <c r="B15" s="30" t="s">
        <v>48</v>
      </c>
      <c r="C15" s="30" t="s">
        <v>59</v>
      </c>
      <c r="D15" s="30" t="s">
        <v>50</v>
      </c>
      <c r="E15" s="31" t="s">
        <v>71</v>
      </c>
      <c r="F15" s="30" t="s">
        <v>72</v>
      </c>
      <c r="G15" s="30" t="n">
        <v>120</v>
      </c>
      <c r="H15" s="30" t="s">
        <v>53</v>
      </c>
      <c r="I15" s="32" t="s">
        <v>14</v>
      </c>
      <c r="J15" s="30" t="s">
        <v>54</v>
      </c>
    </row>
    <row r="16" customFormat="false" ht="15" hidden="false" customHeight="false" outlineLevel="0" collapsed="false">
      <c r="A16" s="30" t="n">
        <v>12</v>
      </c>
      <c r="B16" s="30" t="s">
        <v>48</v>
      </c>
      <c r="C16" s="30" t="s">
        <v>73</v>
      </c>
      <c r="D16" s="30" t="s">
        <v>50</v>
      </c>
      <c r="E16" s="31" t="s">
        <v>74</v>
      </c>
      <c r="F16" s="30" t="s">
        <v>66</v>
      </c>
      <c r="G16" s="30" t="n">
        <v>120</v>
      </c>
      <c r="H16" s="30" t="s">
        <v>53</v>
      </c>
      <c r="I16" s="32" t="s">
        <v>14</v>
      </c>
      <c r="J16" s="30" t="s">
        <v>54</v>
      </c>
    </row>
    <row r="17" customFormat="false" ht="15" hidden="false" customHeight="false" outlineLevel="0" collapsed="false">
      <c r="A17" s="30" t="n">
        <v>13</v>
      </c>
      <c r="B17" s="30" t="s">
        <v>48</v>
      </c>
      <c r="C17" s="30" t="s">
        <v>75</v>
      </c>
      <c r="D17" s="30" t="s">
        <v>50</v>
      </c>
      <c r="E17" s="31" t="s">
        <v>76</v>
      </c>
      <c r="F17" s="30" t="s">
        <v>68</v>
      </c>
      <c r="G17" s="30" t="n">
        <v>120</v>
      </c>
      <c r="H17" s="30" t="s">
        <v>53</v>
      </c>
      <c r="I17" s="32" t="s">
        <v>14</v>
      </c>
      <c r="J17" s="30" t="s">
        <v>54</v>
      </c>
    </row>
    <row r="18" customFormat="false" ht="15" hidden="false" customHeight="false" outlineLevel="0" collapsed="false">
      <c r="A18" s="30" t="n">
        <v>14</v>
      </c>
      <c r="B18" s="30" t="s">
        <v>48</v>
      </c>
      <c r="C18" s="30" t="s">
        <v>75</v>
      </c>
      <c r="D18" s="30" t="s">
        <v>50</v>
      </c>
      <c r="E18" s="31" t="s">
        <v>77</v>
      </c>
      <c r="F18" s="30" t="s">
        <v>70</v>
      </c>
      <c r="G18" s="30" t="n">
        <v>120</v>
      </c>
      <c r="H18" s="30" t="s">
        <v>53</v>
      </c>
      <c r="I18" s="32" t="s">
        <v>14</v>
      </c>
      <c r="J18" s="30" t="s">
        <v>54</v>
      </c>
    </row>
    <row r="19" customFormat="false" ht="15" hidden="false" customHeight="false" outlineLevel="0" collapsed="false">
      <c r="A19" s="30" t="n">
        <v>15</v>
      </c>
      <c r="B19" s="30" t="s">
        <v>48</v>
      </c>
      <c r="C19" s="30" t="s">
        <v>75</v>
      </c>
      <c r="D19" s="30" t="s">
        <v>50</v>
      </c>
      <c r="E19" s="31" t="s">
        <v>78</v>
      </c>
      <c r="F19" s="30" t="s">
        <v>72</v>
      </c>
      <c r="G19" s="30" t="n">
        <v>120</v>
      </c>
      <c r="H19" s="30" t="s">
        <v>53</v>
      </c>
      <c r="I19" s="32" t="s">
        <v>14</v>
      </c>
      <c r="J19" s="30" t="s">
        <v>54</v>
      </c>
    </row>
    <row r="20" customFormat="false" ht="15" hidden="false" customHeight="false" outlineLevel="0" collapsed="false">
      <c r="A20" s="30" t="n">
        <v>16</v>
      </c>
      <c r="B20" s="30" t="s">
        <v>79</v>
      </c>
      <c r="C20" s="30" t="s">
        <v>80</v>
      </c>
      <c r="D20" s="30" t="s">
        <v>81</v>
      </c>
      <c r="E20" s="31" t="s">
        <v>82</v>
      </c>
      <c r="F20" s="30" t="s">
        <v>52</v>
      </c>
      <c r="G20" s="30" t="n">
        <v>30</v>
      </c>
      <c r="H20" s="30" t="s">
        <v>83</v>
      </c>
      <c r="I20" s="32" t="s">
        <v>14</v>
      </c>
      <c r="J20" s="30" t="s">
        <v>84</v>
      </c>
    </row>
    <row r="21" customFormat="false" ht="15" hidden="false" customHeight="false" outlineLevel="0" collapsed="false">
      <c r="A21" s="30" t="n">
        <v>17</v>
      </c>
      <c r="B21" s="30" t="s">
        <v>79</v>
      </c>
      <c r="C21" s="30" t="s">
        <v>80</v>
      </c>
      <c r="D21" s="30" t="s">
        <v>85</v>
      </c>
      <c r="E21" s="31" t="s">
        <v>86</v>
      </c>
      <c r="F21" s="30" t="s">
        <v>56</v>
      </c>
      <c r="G21" s="30" t="n">
        <v>30</v>
      </c>
      <c r="H21" s="30" t="s">
        <v>83</v>
      </c>
      <c r="I21" s="32" t="s">
        <v>14</v>
      </c>
      <c r="J21" s="30" t="s">
        <v>84</v>
      </c>
    </row>
    <row r="22" customFormat="false" ht="15" hidden="false" customHeight="false" outlineLevel="0" collapsed="false">
      <c r="A22" s="30" t="n">
        <v>18</v>
      </c>
      <c r="B22" s="30" t="s">
        <v>79</v>
      </c>
      <c r="C22" s="30" t="s">
        <v>80</v>
      </c>
      <c r="D22" s="30" t="s">
        <v>87</v>
      </c>
      <c r="E22" s="31" t="s">
        <v>88</v>
      </c>
      <c r="F22" s="30" t="s">
        <v>58</v>
      </c>
      <c r="G22" s="30" t="n">
        <v>30</v>
      </c>
      <c r="H22" s="30" t="s">
        <v>83</v>
      </c>
      <c r="I22" s="32" t="s">
        <v>14</v>
      </c>
      <c r="J22" s="30" t="s">
        <v>84</v>
      </c>
    </row>
    <row r="23" customFormat="false" ht="15" hidden="false" customHeight="false" outlineLevel="0" collapsed="false">
      <c r="A23" s="30" t="n">
        <v>19</v>
      </c>
      <c r="B23" s="30" t="s">
        <v>79</v>
      </c>
      <c r="C23" s="30" t="s">
        <v>89</v>
      </c>
      <c r="D23" s="30" t="s">
        <v>90</v>
      </c>
      <c r="E23" s="31" t="s">
        <v>91</v>
      </c>
      <c r="F23" s="30" t="s">
        <v>52</v>
      </c>
      <c r="G23" s="30" t="n">
        <v>30</v>
      </c>
      <c r="H23" s="30" t="s">
        <v>83</v>
      </c>
      <c r="I23" s="32" t="s">
        <v>14</v>
      </c>
      <c r="J23" s="30" t="s">
        <v>84</v>
      </c>
    </row>
    <row r="24" customFormat="false" ht="15" hidden="false" customHeight="false" outlineLevel="0" collapsed="false">
      <c r="A24" s="30" t="n">
        <v>20</v>
      </c>
      <c r="B24" s="30" t="s">
        <v>79</v>
      </c>
      <c r="C24" s="30" t="s">
        <v>89</v>
      </c>
      <c r="D24" s="30" t="s">
        <v>92</v>
      </c>
      <c r="E24" s="31" t="s">
        <v>93</v>
      </c>
      <c r="F24" s="30" t="s">
        <v>56</v>
      </c>
      <c r="G24" s="30" t="n">
        <v>30</v>
      </c>
      <c r="H24" s="30" t="s">
        <v>83</v>
      </c>
      <c r="I24" s="32" t="s">
        <v>14</v>
      </c>
      <c r="J24" s="30" t="s">
        <v>84</v>
      </c>
    </row>
    <row r="25" customFormat="false" ht="15" hidden="false" customHeight="false" outlineLevel="0" collapsed="false">
      <c r="A25" s="30" t="n">
        <v>21</v>
      </c>
      <c r="B25" s="30" t="s">
        <v>79</v>
      </c>
      <c r="C25" s="30" t="s">
        <v>89</v>
      </c>
      <c r="D25" s="30" t="s">
        <v>94</v>
      </c>
      <c r="E25" s="31" t="s">
        <v>95</v>
      </c>
      <c r="F25" s="30" t="s">
        <v>58</v>
      </c>
      <c r="G25" s="30" t="n">
        <v>30</v>
      </c>
      <c r="H25" s="30" t="s">
        <v>83</v>
      </c>
      <c r="I25" s="32" t="s">
        <v>14</v>
      </c>
      <c r="J25" s="30" t="s">
        <v>84</v>
      </c>
    </row>
    <row r="26" customFormat="false" ht="15" hidden="false" customHeight="false" outlineLevel="0" collapsed="false">
      <c r="A26" s="30" t="n">
        <v>22</v>
      </c>
      <c r="B26" s="30" t="s">
        <v>79</v>
      </c>
      <c r="C26" s="30" t="s">
        <v>89</v>
      </c>
      <c r="D26" s="30" t="s">
        <v>96</v>
      </c>
      <c r="E26" s="31" t="s">
        <v>97</v>
      </c>
      <c r="F26" s="30" t="s">
        <v>64</v>
      </c>
      <c r="G26" s="30" t="n">
        <v>30</v>
      </c>
      <c r="H26" s="30" t="s">
        <v>83</v>
      </c>
      <c r="I26" s="32" t="s">
        <v>14</v>
      </c>
      <c r="J26" s="30" t="s">
        <v>84</v>
      </c>
    </row>
    <row r="27" customFormat="false" ht="15" hidden="false" customHeight="false" outlineLevel="0" collapsed="false">
      <c r="A27" s="30" t="n">
        <v>23</v>
      </c>
      <c r="B27" s="30" t="s">
        <v>79</v>
      </c>
      <c r="C27" s="30" t="s">
        <v>89</v>
      </c>
      <c r="D27" s="30" t="s">
        <v>98</v>
      </c>
      <c r="E27" s="31" t="s">
        <v>99</v>
      </c>
      <c r="F27" s="30" t="s">
        <v>66</v>
      </c>
      <c r="G27" s="30" t="n">
        <v>30</v>
      </c>
      <c r="H27" s="30" t="s">
        <v>83</v>
      </c>
      <c r="I27" s="32" t="s">
        <v>14</v>
      </c>
      <c r="J27" s="30" t="s">
        <v>84</v>
      </c>
    </row>
    <row r="28" customFormat="false" ht="15" hidden="false" customHeight="false" outlineLevel="0" collapsed="false">
      <c r="A28" s="30" t="n">
        <v>24</v>
      </c>
      <c r="B28" s="30" t="s">
        <v>79</v>
      </c>
      <c r="C28" s="30" t="s">
        <v>89</v>
      </c>
      <c r="D28" s="30" t="s">
        <v>100</v>
      </c>
      <c r="E28" s="31" t="s">
        <v>101</v>
      </c>
      <c r="F28" s="30" t="s">
        <v>68</v>
      </c>
      <c r="G28" s="30" t="n">
        <v>30</v>
      </c>
      <c r="H28" s="30" t="s">
        <v>83</v>
      </c>
      <c r="I28" s="32" t="s">
        <v>14</v>
      </c>
      <c r="J28" s="30" t="s">
        <v>84</v>
      </c>
    </row>
    <row r="29" customFormat="false" ht="15" hidden="false" customHeight="false" outlineLevel="0" collapsed="false">
      <c r="A29" s="30" t="n">
        <v>25</v>
      </c>
      <c r="B29" s="30" t="s">
        <v>79</v>
      </c>
      <c r="C29" s="30" t="s">
        <v>89</v>
      </c>
      <c r="D29" s="30" t="s">
        <v>102</v>
      </c>
      <c r="E29" s="31" t="s">
        <v>103</v>
      </c>
      <c r="F29" s="30" t="s">
        <v>70</v>
      </c>
      <c r="G29" s="30" t="n">
        <v>30</v>
      </c>
      <c r="H29" s="30" t="s">
        <v>83</v>
      </c>
      <c r="I29" s="32" t="s">
        <v>14</v>
      </c>
      <c r="J29" s="30" t="s">
        <v>84</v>
      </c>
    </row>
    <row r="30" customFormat="false" ht="15" hidden="false" customHeight="false" outlineLevel="0" collapsed="false">
      <c r="A30" s="30" t="n">
        <v>26</v>
      </c>
      <c r="B30" s="30" t="s">
        <v>79</v>
      </c>
      <c r="C30" s="30" t="s">
        <v>89</v>
      </c>
      <c r="D30" s="30" t="s">
        <v>104</v>
      </c>
      <c r="E30" s="31" t="s">
        <v>105</v>
      </c>
      <c r="F30" s="30" t="s">
        <v>72</v>
      </c>
      <c r="G30" s="30" t="n">
        <v>30</v>
      </c>
      <c r="H30" s="30" t="s">
        <v>83</v>
      </c>
      <c r="I30" s="32" t="s">
        <v>14</v>
      </c>
      <c r="J30" s="30" t="s">
        <v>84</v>
      </c>
    </row>
    <row r="31" customFormat="false" ht="15" hidden="false" customHeight="false" outlineLevel="0" collapsed="false">
      <c r="A31" s="30" t="n">
        <v>27</v>
      </c>
      <c r="B31" s="30" t="s">
        <v>79</v>
      </c>
      <c r="C31" s="30" t="s">
        <v>106</v>
      </c>
      <c r="D31" s="30" t="s">
        <v>107</v>
      </c>
      <c r="E31" s="31" t="s">
        <v>108</v>
      </c>
      <c r="F31" s="30" t="s">
        <v>66</v>
      </c>
      <c r="G31" s="30" t="n">
        <v>30</v>
      </c>
      <c r="H31" s="30" t="s">
        <v>83</v>
      </c>
      <c r="I31" s="32" t="s">
        <v>14</v>
      </c>
      <c r="J31" s="30" t="s">
        <v>84</v>
      </c>
    </row>
    <row r="32" customFormat="false" ht="15" hidden="false" customHeight="false" outlineLevel="0" collapsed="false">
      <c r="A32" s="30" t="n">
        <v>28</v>
      </c>
      <c r="B32" s="30" t="s">
        <v>79</v>
      </c>
      <c r="C32" s="30" t="s">
        <v>106</v>
      </c>
      <c r="D32" s="30" t="s">
        <v>109</v>
      </c>
      <c r="E32" s="31" t="s">
        <v>110</v>
      </c>
      <c r="F32" s="30" t="s">
        <v>68</v>
      </c>
      <c r="G32" s="30" t="n">
        <v>30</v>
      </c>
      <c r="H32" s="30" t="s">
        <v>83</v>
      </c>
      <c r="I32" s="32" t="s">
        <v>14</v>
      </c>
      <c r="J32" s="30" t="s">
        <v>84</v>
      </c>
    </row>
    <row r="33" customFormat="false" ht="15" hidden="false" customHeight="false" outlineLevel="0" collapsed="false">
      <c r="A33" s="30" t="n">
        <v>29</v>
      </c>
      <c r="B33" s="30" t="s">
        <v>79</v>
      </c>
      <c r="C33" s="30" t="s">
        <v>106</v>
      </c>
      <c r="D33" s="30" t="s">
        <v>111</v>
      </c>
      <c r="E33" s="31" t="s">
        <v>112</v>
      </c>
      <c r="F33" s="30" t="s">
        <v>70</v>
      </c>
      <c r="G33" s="30" t="n">
        <v>30</v>
      </c>
      <c r="H33" s="30" t="s">
        <v>83</v>
      </c>
      <c r="I33" s="32" t="s">
        <v>14</v>
      </c>
      <c r="J33" s="30" t="s">
        <v>84</v>
      </c>
    </row>
    <row r="34" customFormat="false" ht="15" hidden="false" customHeight="false" outlineLevel="0" collapsed="false">
      <c r="A34" s="30" t="n">
        <v>30</v>
      </c>
      <c r="B34" s="30" t="s">
        <v>79</v>
      </c>
      <c r="C34" s="30" t="s">
        <v>106</v>
      </c>
      <c r="D34" s="30" t="s">
        <v>113</v>
      </c>
      <c r="E34" s="31" t="s">
        <v>114</v>
      </c>
      <c r="F34" s="30" t="s">
        <v>72</v>
      </c>
      <c r="G34" s="30" t="n">
        <v>30</v>
      </c>
      <c r="H34" s="30" t="s">
        <v>83</v>
      </c>
      <c r="I34" s="32" t="s">
        <v>14</v>
      </c>
      <c r="J34" s="30" t="s">
        <v>84</v>
      </c>
    </row>
    <row r="35" customFormat="false" ht="15" hidden="false" customHeight="false" outlineLevel="0" collapsed="false">
      <c r="A35" s="30" t="n">
        <v>31</v>
      </c>
      <c r="B35" s="30" t="s">
        <v>115</v>
      </c>
      <c r="C35" s="30" t="s">
        <v>116</v>
      </c>
      <c r="D35" s="30" t="s">
        <v>117</v>
      </c>
      <c r="E35" s="31" t="s">
        <v>118</v>
      </c>
      <c r="F35" s="30" t="s">
        <v>119</v>
      </c>
      <c r="G35" s="30" t="n">
        <v>50</v>
      </c>
      <c r="H35" s="30" t="s">
        <v>83</v>
      </c>
      <c r="I35" s="32" t="s">
        <v>14</v>
      </c>
      <c r="J35" s="30" t="s">
        <v>120</v>
      </c>
    </row>
    <row r="36" customFormat="false" ht="15" hidden="false" customHeight="false" outlineLevel="0" collapsed="false">
      <c r="A36" s="30" t="n">
        <v>32</v>
      </c>
      <c r="B36" s="30" t="s">
        <v>115</v>
      </c>
      <c r="C36" s="30" t="s">
        <v>116</v>
      </c>
      <c r="D36" s="30" t="s">
        <v>121</v>
      </c>
      <c r="E36" s="31" t="s">
        <v>122</v>
      </c>
      <c r="F36" s="30" t="s">
        <v>123</v>
      </c>
      <c r="G36" s="30" t="n">
        <v>50</v>
      </c>
      <c r="H36" s="30" t="s">
        <v>83</v>
      </c>
      <c r="I36" s="32" t="s">
        <v>14</v>
      </c>
      <c r="J36" s="30" t="s">
        <v>120</v>
      </c>
    </row>
    <row r="37" customFormat="false" ht="15" hidden="false" customHeight="false" outlineLevel="0" collapsed="false">
      <c r="A37" s="30" t="n">
        <v>33</v>
      </c>
      <c r="B37" s="30" t="s">
        <v>115</v>
      </c>
      <c r="C37" s="30" t="s">
        <v>116</v>
      </c>
      <c r="D37" s="30" t="s">
        <v>124</v>
      </c>
      <c r="E37" s="31" t="s">
        <v>125</v>
      </c>
      <c r="F37" s="30" t="s">
        <v>123</v>
      </c>
      <c r="G37" s="30" t="n">
        <v>50</v>
      </c>
      <c r="H37" s="30" t="s">
        <v>83</v>
      </c>
      <c r="I37" s="32" t="s">
        <v>14</v>
      </c>
      <c r="J37" s="30" t="s">
        <v>120</v>
      </c>
    </row>
    <row r="38" customFormat="false" ht="15" hidden="false" customHeight="false" outlineLevel="0" collapsed="false">
      <c r="A38" s="30" t="n">
        <v>34</v>
      </c>
      <c r="B38" s="30" t="s">
        <v>115</v>
      </c>
      <c r="C38" s="30" t="s">
        <v>116</v>
      </c>
      <c r="D38" s="30" t="s">
        <v>126</v>
      </c>
      <c r="E38" s="31" t="s">
        <v>127</v>
      </c>
      <c r="F38" s="30" t="s">
        <v>123</v>
      </c>
      <c r="G38" s="30" t="n">
        <v>50</v>
      </c>
      <c r="H38" s="30" t="s">
        <v>83</v>
      </c>
      <c r="I38" s="32" t="s">
        <v>14</v>
      </c>
      <c r="J38" s="30" t="s">
        <v>120</v>
      </c>
    </row>
    <row r="39" customFormat="false" ht="15" hidden="false" customHeight="false" outlineLevel="0" collapsed="false">
      <c r="A39" s="30" t="n">
        <v>35</v>
      </c>
      <c r="B39" s="30" t="s">
        <v>115</v>
      </c>
      <c r="C39" s="30" t="s">
        <v>116</v>
      </c>
      <c r="D39" s="30" t="s">
        <v>128</v>
      </c>
      <c r="E39" s="31" t="s">
        <v>129</v>
      </c>
      <c r="F39" s="30" t="s">
        <v>130</v>
      </c>
      <c r="G39" s="30" t="n">
        <v>50</v>
      </c>
      <c r="H39" s="30" t="s">
        <v>83</v>
      </c>
      <c r="I39" s="32" t="s">
        <v>14</v>
      </c>
      <c r="J39" s="30" t="s">
        <v>120</v>
      </c>
    </row>
    <row r="40" customFormat="false" ht="15" hidden="false" customHeight="false" outlineLevel="0" collapsed="false">
      <c r="A40" s="30" t="n">
        <v>36</v>
      </c>
      <c r="B40" s="30" t="s">
        <v>115</v>
      </c>
      <c r="C40" s="30" t="s">
        <v>116</v>
      </c>
      <c r="D40" s="30" t="s">
        <v>131</v>
      </c>
      <c r="E40" s="31" t="s">
        <v>132</v>
      </c>
      <c r="F40" s="30" t="s">
        <v>130</v>
      </c>
      <c r="G40" s="30" t="n">
        <v>50</v>
      </c>
      <c r="H40" s="30" t="s">
        <v>83</v>
      </c>
      <c r="I40" s="32" t="s">
        <v>14</v>
      </c>
      <c r="J40" s="30" t="s">
        <v>120</v>
      </c>
    </row>
    <row r="41" customFormat="false" ht="15" hidden="false" customHeight="false" outlineLevel="0" collapsed="false">
      <c r="A41" s="30" t="n">
        <v>37</v>
      </c>
      <c r="B41" s="30" t="s">
        <v>115</v>
      </c>
      <c r="C41" s="30" t="s">
        <v>116</v>
      </c>
      <c r="D41" s="30" t="s">
        <v>133</v>
      </c>
      <c r="E41" s="31" t="s">
        <v>134</v>
      </c>
      <c r="F41" s="30" t="s">
        <v>135</v>
      </c>
      <c r="G41" s="30" t="n">
        <v>50</v>
      </c>
      <c r="H41" s="30" t="s">
        <v>83</v>
      </c>
      <c r="I41" s="32" t="s">
        <v>14</v>
      </c>
      <c r="J41" s="30" t="s">
        <v>120</v>
      </c>
    </row>
    <row r="42" customFormat="false" ht="15" hidden="false" customHeight="false" outlineLevel="0" collapsed="false">
      <c r="A42" s="30" t="n">
        <v>38</v>
      </c>
      <c r="B42" s="30" t="s">
        <v>115</v>
      </c>
      <c r="C42" s="30" t="s">
        <v>116</v>
      </c>
      <c r="D42" s="30" t="s">
        <v>136</v>
      </c>
      <c r="E42" s="31" t="s">
        <v>137</v>
      </c>
      <c r="F42" s="30" t="s">
        <v>138</v>
      </c>
      <c r="G42" s="30" t="n">
        <v>50</v>
      </c>
      <c r="H42" s="30" t="s">
        <v>83</v>
      </c>
      <c r="I42" s="32" t="s">
        <v>14</v>
      </c>
      <c r="J42" s="30" t="s">
        <v>120</v>
      </c>
    </row>
    <row r="43" customFormat="false" ht="15" hidden="false" customHeight="false" outlineLevel="0" collapsed="false">
      <c r="A43" s="33" t="n">
        <v>39</v>
      </c>
      <c r="B43" s="33" t="s">
        <v>115</v>
      </c>
      <c r="C43" s="33" t="s">
        <v>116</v>
      </c>
      <c r="D43" s="33" t="s">
        <v>139</v>
      </c>
      <c r="E43" s="34" t="s">
        <v>140</v>
      </c>
      <c r="F43" s="33" t="s">
        <v>141</v>
      </c>
      <c r="G43" s="33" t="n">
        <v>50</v>
      </c>
      <c r="H43" s="33" t="s">
        <v>83</v>
      </c>
      <c r="I43" s="35" t="s">
        <v>142</v>
      </c>
      <c r="J43" s="33" t="s">
        <v>120</v>
      </c>
    </row>
    <row r="44" customFormat="false" ht="15" hidden="false" customHeight="false" outlineLevel="0" collapsed="false">
      <c r="A44" s="33" t="n">
        <v>40</v>
      </c>
      <c r="B44" s="33" t="s">
        <v>115</v>
      </c>
      <c r="C44" s="33" t="s">
        <v>116</v>
      </c>
      <c r="D44" s="33" t="s">
        <v>143</v>
      </c>
      <c r="E44" s="34" t="s">
        <v>144</v>
      </c>
      <c r="F44" s="33" t="s">
        <v>145</v>
      </c>
      <c r="G44" s="33" t="n">
        <v>25</v>
      </c>
      <c r="H44" s="33" t="s">
        <v>83</v>
      </c>
      <c r="I44" s="35" t="s">
        <v>142</v>
      </c>
      <c r="J44" s="33" t="s">
        <v>120</v>
      </c>
    </row>
    <row r="45" customFormat="false" ht="15" hidden="false" customHeight="false" outlineLevel="0" collapsed="false">
      <c r="A45" s="33" t="n">
        <v>41</v>
      </c>
      <c r="B45" s="33" t="s">
        <v>115</v>
      </c>
      <c r="C45" s="33" t="s">
        <v>146</v>
      </c>
      <c r="D45" s="33" t="s">
        <v>147</v>
      </c>
      <c r="E45" s="34" t="s">
        <v>148</v>
      </c>
      <c r="F45" s="33" t="s">
        <v>119</v>
      </c>
      <c r="G45" s="33" t="n">
        <v>50</v>
      </c>
      <c r="H45" s="33" t="s">
        <v>83</v>
      </c>
      <c r="I45" s="35" t="s">
        <v>142</v>
      </c>
      <c r="J45" s="33" t="s">
        <v>120</v>
      </c>
    </row>
    <row r="46" customFormat="false" ht="15" hidden="false" customHeight="false" outlineLevel="0" collapsed="false">
      <c r="A46" s="33" t="n">
        <v>42</v>
      </c>
      <c r="B46" s="33" t="s">
        <v>115</v>
      </c>
      <c r="C46" s="33" t="s">
        <v>146</v>
      </c>
      <c r="D46" s="33" t="s">
        <v>149</v>
      </c>
      <c r="E46" s="34" t="s">
        <v>150</v>
      </c>
      <c r="F46" s="33" t="s">
        <v>123</v>
      </c>
      <c r="G46" s="33" t="n">
        <v>50</v>
      </c>
      <c r="H46" s="33" t="s">
        <v>83</v>
      </c>
      <c r="I46" s="35" t="s">
        <v>142</v>
      </c>
      <c r="J46" s="33" t="s">
        <v>120</v>
      </c>
    </row>
    <row r="47" customFormat="false" ht="15" hidden="false" customHeight="false" outlineLevel="0" collapsed="false">
      <c r="A47" s="33" t="n">
        <v>43</v>
      </c>
      <c r="B47" s="33" t="s">
        <v>115</v>
      </c>
      <c r="C47" s="33" t="s">
        <v>146</v>
      </c>
      <c r="D47" s="33" t="s">
        <v>151</v>
      </c>
      <c r="E47" s="34" t="s">
        <v>152</v>
      </c>
      <c r="F47" s="33" t="s">
        <v>130</v>
      </c>
      <c r="G47" s="33" t="n">
        <v>50</v>
      </c>
      <c r="H47" s="33" t="s">
        <v>83</v>
      </c>
      <c r="I47" s="35" t="s">
        <v>142</v>
      </c>
      <c r="J47" s="33" t="s">
        <v>120</v>
      </c>
    </row>
    <row r="48" customFormat="false" ht="15" hidden="false" customHeight="false" outlineLevel="0" collapsed="false">
      <c r="A48" s="33" t="n">
        <v>44</v>
      </c>
      <c r="B48" s="33" t="s">
        <v>115</v>
      </c>
      <c r="C48" s="33" t="s">
        <v>153</v>
      </c>
      <c r="D48" s="33" t="s">
        <v>154</v>
      </c>
      <c r="E48" s="34" t="s">
        <v>155</v>
      </c>
      <c r="F48" s="33" t="s">
        <v>119</v>
      </c>
      <c r="G48" s="33" t="n">
        <v>50</v>
      </c>
      <c r="H48" s="33" t="s">
        <v>83</v>
      </c>
      <c r="I48" s="35" t="s">
        <v>142</v>
      </c>
      <c r="J48" s="33" t="s">
        <v>120</v>
      </c>
    </row>
    <row r="49" customFormat="false" ht="15" hidden="false" customHeight="false" outlineLevel="0" collapsed="false">
      <c r="A49" s="30" t="n">
        <v>45</v>
      </c>
      <c r="B49" s="30" t="s">
        <v>115</v>
      </c>
      <c r="C49" s="30" t="s">
        <v>153</v>
      </c>
      <c r="D49" s="30" t="s">
        <v>156</v>
      </c>
      <c r="E49" s="31" t="s">
        <v>157</v>
      </c>
      <c r="F49" s="30" t="s">
        <v>123</v>
      </c>
      <c r="G49" s="30" t="n">
        <v>50</v>
      </c>
      <c r="H49" s="30" t="s">
        <v>83</v>
      </c>
      <c r="I49" s="32" t="s">
        <v>14</v>
      </c>
      <c r="J49" s="30" t="s">
        <v>120</v>
      </c>
    </row>
    <row r="50" customFormat="false" ht="15" hidden="false" customHeight="false" outlineLevel="0" collapsed="false">
      <c r="A50" s="30" t="n">
        <v>46</v>
      </c>
      <c r="B50" s="30" t="s">
        <v>115</v>
      </c>
      <c r="C50" s="30" t="s">
        <v>153</v>
      </c>
      <c r="D50" s="30" t="s">
        <v>158</v>
      </c>
      <c r="E50" s="31" t="s">
        <v>159</v>
      </c>
      <c r="F50" s="30" t="s">
        <v>130</v>
      </c>
      <c r="G50" s="30" t="n">
        <v>50</v>
      </c>
      <c r="H50" s="30" t="s">
        <v>83</v>
      </c>
      <c r="I50" s="32" t="s">
        <v>14</v>
      </c>
      <c r="J50" s="30" t="s">
        <v>120</v>
      </c>
    </row>
    <row r="51" customFormat="false" ht="15" hidden="false" customHeight="false" outlineLevel="0" collapsed="false">
      <c r="A51" s="30" t="n">
        <v>47</v>
      </c>
      <c r="B51" s="30" t="s">
        <v>115</v>
      </c>
      <c r="C51" s="30" t="s">
        <v>153</v>
      </c>
      <c r="D51" s="30" t="s">
        <v>160</v>
      </c>
      <c r="E51" s="31" t="s">
        <v>161</v>
      </c>
      <c r="F51" s="30" t="s">
        <v>138</v>
      </c>
      <c r="G51" s="30" t="n">
        <v>50</v>
      </c>
      <c r="H51" s="30" t="s">
        <v>83</v>
      </c>
      <c r="I51" s="32" t="s">
        <v>14</v>
      </c>
      <c r="J51" s="30" t="s">
        <v>120</v>
      </c>
    </row>
    <row r="52" customFormat="false" ht="15" hidden="false" customHeight="false" outlineLevel="0" collapsed="false">
      <c r="A52" s="30" t="n">
        <v>48</v>
      </c>
      <c r="B52" s="30" t="s">
        <v>115</v>
      </c>
      <c r="C52" s="30" t="s">
        <v>153</v>
      </c>
      <c r="D52" s="30" t="s">
        <v>162</v>
      </c>
      <c r="E52" s="31" t="s">
        <v>163</v>
      </c>
      <c r="F52" s="30" t="s">
        <v>141</v>
      </c>
      <c r="G52" s="30" t="n">
        <v>50</v>
      </c>
      <c r="H52" s="30" t="s">
        <v>83</v>
      </c>
      <c r="I52" s="32" t="s">
        <v>14</v>
      </c>
      <c r="J52" s="30" t="s">
        <v>120</v>
      </c>
    </row>
    <row r="53" customFormat="false" ht="15" hidden="false" customHeight="false" outlineLevel="0" collapsed="false">
      <c r="A53" s="30" t="n">
        <v>49</v>
      </c>
      <c r="B53" s="30" t="s">
        <v>115</v>
      </c>
      <c r="C53" s="30" t="s">
        <v>153</v>
      </c>
      <c r="D53" s="30" t="s">
        <v>164</v>
      </c>
      <c r="E53" s="31" t="s">
        <v>165</v>
      </c>
      <c r="F53" s="30" t="s">
        <v>145</v>
      </c>
      <c r="G53" s="30" t="n">
        <v>50</v>
      </c>
      <c r="H53" s="30" t="s">
        <v>83</v>
      </c>
      <c r="I53" s="32" t="s">
        <v>14</v>
      </c>
      <c r="J53" s="30" t="s">
        <v>120</v>
      </c>
    </row>
    <row r="54" customFormat="false" ht="15" hidden="false" customHeight="false" outlineLevel="0" collapsed="false">
      <c r="A54" s="30" t="n">
        <v>50</v>
      </c>
      <c r="B54" s="30" t="s">
        <v>115</v>
      </c>
      <c r="C54" s="30" t="s">
        <v>116</v>
      </c>
      <c r="D54" s="30" t="s">
        <v>166</v>
      </c>
      <c r="E54" s="31" t="s">
        <v>134</v>
      </c>
      <c r="F54" s="30" t="s">
        <v>135</v>
      </c>
      <c r="G54" s="30" t="n">
        <v>50</v>
      </c>
      <c r="H54" s="30" t="s">
        <v>83</v>
      </c>
      <c r="I54" s="32" t="s">
        <v>14</v>
      </c>
      <c r="J54" s="30" t="s">
        <v>167</v>
      </c>
    </row>
    <row r="55" customFormat="false" ht="15" hidden="false" customHeight="false" outlineLevel="0" collapsed="false">
      <c r="A55" s="30" t="n">
        <v>51</v>
      </c>
      <c r="B55" s="30" t="s">
        <v>115</v>
      </c>
      <c r="C55" s="30" t="s">
        <v>116</v>
      </c>
      <c r="D55" s="30" t="s">
        <v>168</v>
      </c>
      <c r="E55" s="31" t="s">
        <v>137</v>
      </c>
      <c r="F55" s="30" t="s">
        <v>138</v>
      </c>
      <c r="G55" s="30" t="n">
        <v>100</v>
      </c>
      <c r="H55" s="30" t="s">
        <v>83</v>
      </c>
      <c r="I55" s="32" t="s">
        <v>14</v>
      </c>
      <c r="J55" s="30" t="s">
        <v>167</v>
      </c>
    </row>
    <row r="56" customFormat="false" ht="15" hidden="false" customHeight="false" outlineLevel="0" collapsed="false">
      <c r="A56" s="30" t="n">
        <v>52</v>
      </c>
      <c r="B56" s="30" t="s">
        <v>115</v>
      </c>
      <c r="C56" s="30" t="s">
        <v>116</v>
      </c>
      <c r="D56" s="30" t="s">
        <v>169</v>
      </c>
      <c r="E56" s="31" t="s">
        <v>140</v>
      </c>
      <c r="F56" s="30" t="s">
        <v>141</v>
      </c>
      <c r="G56" s="30" t="n">
        <v>50</v>
      </c>
      <c r="H56" s="30" t="s">
        <v>83</v>
      </c>
      <c r="I56" s="32" t="s">
        <v>14</v>
      </c>
      <c r="J56" s="30" t="s">
        <v>167</v>
      </c>
    </row>
    <row r="57" customFormat="false" ht="15" hidden="false" customHeight="false" outlineLevel="0" collapsed="false">
      <c r="A57" s="30" t="n">
        <v>53</v>
      </c>
      <c r="B57" s="30" t="s">
        <v>115</v>
      </c>
      <c r="C57" s="30" t="s">
        <v>116</v>
      </c>
      <c r="D57" s="30" t="s">
        <v>170</v>
      </c>
      <c r="E57" s="31" t="s">
        <v>144</v>
      </c>
      <c r="F57" s="30" t="s">
        <v>145</v>
      </c>
      <c r="G57" s="30" t="n">
        <v>25</v>
      </c>
      <c r="H57" s="30" t="s">
        <v>83</v>
      </c>
      <c r="I57" s="32" t="s">
        <v>14</v>
      </c>
      <c r="J57" s="30" t="s">
        <v>167</v>
      </c>
    </row>
    <row r="58" customFormat="false" ht="15" hidden="false" customHeight="false" outlineLevel="0" collapsed="false">
      <c r="A58" s="30" t="n">
        <v>54</v>
      </c>
      <c r="B58" s="30" t="s">
        <v>115</v>
      </c>
      <c r="C58" s="30" t="s">
        <v>146</v>
      </c>
      <c r="D58" s="30" t="s">
        <v>171</v>
      </c>
      <c r="E58" s="31" t="s">
        <v>148</v>
      </c>
      <c r="F58" s="30" t="s">
        <v>119</v>
      </c>
      <c r="G58" s="30" t="n">
        <v>50</v>
      </c>
      <c r="H58" s="30" t="s">
        <v>83</v>
      </c>
      <c r="I58" s="32" t="s">
        <v>14</v>
      </c>
      <c r="J58" s="30" t="s">
        <v>167</v>
      </c>
    </row>
    <row r="59" customFormat="false" ht="15" hidden="false" customHeight="false" outlineLevel="0" collapsed="false">
      <c r="A59" s="30" t="n">
        <v>55</v>
      </c>
      <c r="B59" s="30" t="s">
        <v>115</v>
      </c>
      <c r="C59" s="30" t="s">
        <v>146</v>
      </c>
      <c r="D59" s="30" t="s">
        <v>172</v>
      </c>
      <c r="E59" s="31" t="s">
        <v>150</v>
      </c>
      <c r="F59" s="30" t="s">
        <v>123</v>
      </c>
      <c r="G59" s="30" t="n">
        <v>50</v>
      </c>
      <c r="H59" s="30" t="s">
        <v>83</v>
      </c>
      <c r="I59" s="32" t="s">
        <v>14</v>
      </c>
      <c r="J59" s="30" t="s">
        <v>167</v>
      </c>
    </row>
    <row r="60" customFormat="false" ht="15" hidden="false" customHeight="false" outlineLevel="0" collapsed="false">
      <c r="A60" s="30" t="n">
        <v>56</v>
      </c>
      <c r="B60" s="30" t="s">
        <v>115</v>
      </c>
      <c r="C60" s="30" t="s">
        <v>146</v>
      </c>
      <c r="D60" s="30" t="s">
        <v>173</v>
      </c>
      <c r="E60" s="31" t="s">
        <v>152</v>
      </c>
      <c r="F60" s="30" t="s">
        <v>130</v>
      </c>
      <c r="G60" s="30" t="n">
        <v>50</v>
      </c>
      <c r="H60" s="30" t="s">
        <v>83</v>
      </c>
      <c r="I60" s="32" t="s">
        <v>14</v>
      </c>
      <c r="J60" s="30" t="s">
        <v>167</v>
      </c>
    </row>
    <row r="61" customFormat="false" ht="15" hidden="false" customHeight="false" outlineLevel="0" collapsed="false">
      <c r="A61" s="30" t="n">
        <v>57</v>
      </c>
      <c r="B61" s="30" t="s">
        <v>115</v>
      </c>
      <c r="C61" s="30" t="s">
        <v>146</v>
      </c>
      <c r="D61" s="30" t="s">
        <v>174</v>
      </c>
      <c r="E61" s="31" t="s">
        <v>175</v>
      </c>
      <c r="F61" s="30" t="s">
        <v>135</v>
      </c>
      <c r="G61" s="30" t="n">
        <v>25</v>
      </c>
      <c r="H61" s="30" t="s">
        <v>83</v>
      </c>
      <c r="I61" s="32" t="s">
        <v>14</v>
      </c>
      <c r="J61" s="30" t="s">
        <v>167</v>
      </c>
    </row>
    <row r="62" customFormat="false" ht="15" hidden="false" customHeight="false" outlineLevel="0" collapsed="false">
      <c r="A62" s="30" t="n">
        <v>58</v>
      </c>
      <c r="B62" s="30" t="s">
        <v>115</v>
      </c>
      <c r="C62" s="30" t="s">
        <v>146</v>
      </c>
      <c r="D62" s="30" t="s">
        <v>176</v>
      </c>
      <c r="E62" s="31" t="s">
        <v>177</v>
      </c>
      <c r="F62" s="30" t="s">
        <v>138</v>
      </c>
      <c r="G62" s="30" t="n">
        <v>50</v>
      </c>
      <c r="H62" s="30" t="s">
        <v>83</v>
      </c>
      <c r="I62" s="32" t="s">
        <v>14</v>
      </c>
      <c r="J62" s="30" t="s">
        <v>167</v>
      </c>
    </row>
    <row r="63" customFormat="false" ht="15" hidden="false" customHeight="false" outlineLevel="0" collapsed="false">
      <c r="A63" s="30" t="n">
        <v>59</v>
      </c>
      <c r="B63" s="30" t="s">
        <v>115</v>
      </c>
      <c r="C63" s="30" t="s">
        <v>146</v>
      </c>
      <c r="D63" s="30" t="s">
        <v>178</v>
      </c>
      <c r="E63" s="31" t="s">
        <v>179</v>
      </c>
      <c r="F63" s="30" t="s">
        <v>141</v>
      </c>
      <c r="G63" s="30" t="n">
        <v>25</v>
      </c>
      <c r="H63" s="30" t="s">
        <v>83</v>
      </c>
      <c r="I63" s="32" t="s">
        <v>14</v>
      </c>
      <c r="J63" s="30" t="s">
        <v>167</v>
      </c>
    </row>
    <row r="64" customFormat="false" ht="15" hidden="false" customHeight="false" outlineLevel="0" collapsed="false">
      <c r="A64" s="30" t="n">
        <v>60</v>
      </c>
      <c r="B64" s="30" t="s">
        <v>115</v>
      </c>
      <c r="C64" s="30" t="s">
        <v>146</v>
      </c>
      <c r="D64" s="30" t="s">
        <v>180</v>
      </c>
      <c r="E64" s="31" t="s">
        <v>181</v>
      </c>
      <c r="F64" s="30" t="s">
        <v>145</v>
      </c>
      <c r="G64" s="30" t="n">
        <v>25</v>
      </c>
      <c r="H64" s="30" t="s">
        <v>83</v>
      </c>
      <c r="I64" s="32" t="s">
        <v>14</v>
      </c>
      <c r="J64" s="30" t="s">
        <v>167</v>
      </c>
    </row>
    <row r="65" customFormat="false" ht="15" hidden="false" customHeight="false" outlineLevel="0" collapsed="false">
      <c r="A65" s="30" t="n">
        <v>61</v>
      </c>
      <c r="B65" s="30" t="s">
        <v>115</v>
      </c>
      <c r="C65" s="30" t="s">
        <v>182</v>
      </c>
      <c r="D65" s="30" t="s">
        <v>183</v>
      </c>
      <c r="E65" s="31" t="s">
        <v>184</v>
      </c>
      <c r="F65" s="30" t="s">
        <v>185</v>
      </c>
      <c r="G65" s="30" t="n">
        <v>200</v>
      </c>
      <c r="H65" s="30" t="s">
        <v>83</v>
      </c>
      <c r="I65" s="32" t="s">
        <v>14</v>
      </c>
      <c r="J65" s="30" t="s">
        <v>167</v>
      </c>
    </row>
    <row r="66" customFormat="false" ht="15" hidden="false" customHeight="false" outlineLevel="0" collapsed="false">
      <c r="A66" s="30" t="n">
        <v>62</v>
      </c>
      <c r="B66" s="30" t="s">
        <v>115</v>
      </c>
      <c r="C66" s="30" t="s">
        <v>182</v>
      </c>
      <c r="D66" s="30" t="s">
        <v>186</v>
      </c>
      <c r="E66" s="31" t="s">
        <v>187</v>
      </c>
      <c r="F66" s="30" t="s">
        <v>188</v>
      </c>
      <c r="G66" s="30" t="n">
        <v>100</v>
      </c>
      <c r="H66" s="30" t="s">
        <v>83</v>
      </c>
      <c r="I66" s="32" t="s">
        <v>14</v>
      </c>
      <c r="J66" s="30" t="s">
        <v>167</v>
      </c>
    </row>
    <row r="67" customFormat="false" ht="15" hidden="false" customHeight="false" outlineLevel="0" collapsed="false">
      <c r="A67" s="30" t="n">
        <v>63</v>
      </c>
      <c r="B67" s="30" t="s">
        <v>115</v>
      </c>
      <c r="C67" s="30" t="s">
        <v>182</v>
      </c>
      <c r="D67" s="30" t="s">
        <v>189</v>
      </c>
      <c r="E67" s="31" t="s">
        <v>190</v>
      </c>
      <c r="F67" s="30" t="s">
        <v>191</v>
      </c>
      <c r="G67" s="30" t="n">
        <v>100</v>
      </c>
      <c r="H67" s="30" t="s">
        <v>83</v>
      </c>
      <c r="I67" s="32" t="s">
        <v>14</v>
      </c>
      <c r="J67" s="30" t="s">
        <v>167</v>
      </c>
    </row>
    <row r="68" customFormat="false" ht="15" hidden="false" customHeight="false" outlineLevel="0" collapsed="false">
      <c r="A68" s="30" t="n">
        <v>64</v>
      </c>
      <c r="B68" s="30" t="s">
        <v>115</v>
      </c>
      <c r="C68" s="30" t="s">
        <v>182</v>
      </c>
      <c r="D68" s="30" t="s">
        <v>192</v>
      </c>
      <c r="E68" s="31" t="s">
        <v>193</v>
      </c>
      <c r="F68" s="30" t="s">
        <v>194</v>
      </c>
      <c r="G68" s="30" t="n">
        <v>100</v>
      </c>
      <c r="H68" s="30" t="s">
        <v>83</v>
      </c>
      <c r="I68" s="32" t="s">
        <v>14</v>
      </c>
      <c r="J68" s="30" t="s">
        <v>167</v>
      </c>
    </row>
    <row r="69" customFormat="false" ht="15" hidden="false" customHeight="false" outlineLevel="0" collapsed="false">
      <c r="A69" s="30" t="n">
        <v>65</v>
      </c>
      <c r="B69" s="30" t="s">
        <v>115</v>
      </c>
      <c r="C69" s="30" t="s">
        <v>182</v>
      </c>
      <c r="D69" s="30" t="s">
        <v>195</v>
      </c>
      <c r="E69" s="31" t="s">
        <v>196</v>
      </c>
      <c r="F69" s="30" t="s">
        <v>197</v>
      </c>
      <c r="G69" s="30" t="n">
        <v>100</v>
      </c>
      <c r="H69" s="30" t="s">
        <v>83</v>
      </c>
      <c r="I69" s="32" t="s">
        <v>14</v>
      </c>
      <c r="J69" s="30" t="s">
        <v>167</v>
      </c>
    </row>
    <row r="70" customFormat="false" ht="15" hidden="false" customHeight="false" outlineLevel="0" collapsed="false">
      <c r="A70" s="30" t="n">
        <v>66</v>
      </c>
      <c r="B70" s="30" t="s">
        <v>115</v>
      </c>
      <c r="C70" s="30" t="s">
        <v>182</v>
      </c>
      <c r="D70" s="30" t="s">
        <v>198</v>
      </c>
      <c r="E70" s="31" t="s">
        <v>199</v>
      </c>
      <c r="F70" s="30" t="s">
        <v>200</v>
      </c>
      <c r="G70" s="30" t="n">
        <v>100</v>
      </c>
      <c r="H70" s="30" t="s">
        <v>83</v>
      </c>
      <c r="I70" s="32" t="s">
        <v>14</v>
      </c>
      <c r="J70" s="30" t="s">
        <v>167</v>
      </c>
    </row>
    <row r="71" customFormat="false" ht="15" hidden="false" customHeight="false" outlineLevel="0" collapsed="false">
      <c r="A71" s="30" t="n">
        <v>67</v>
      </c>
      <c r="B71" s="30" t="s">
        <v>115</v>
      </c>
      <c r="C71" s="30" t="s">
        <v>182</v>
      </c>
      <c r="D71" s="30" t="s">
        <v>201</v>
      </c>
      <c r="E71" s="31" t="s">
        <v>202</v>
      </c>
      <c r="F71" s="30" t="s">
        <v>203</v>
      </c>
      <c r="G71" s="30" t="n">
        <v>50</v>
      </c>
      <c r="H71" s="30" t="s">
        <v>83</v>
      </c>
      <c r="I71" s="32" t="s">
        <v>14</v>
      </c>
      <c r="J71" s="30" t="s">
        <v>167</v>
      </c>
    </row>
    <row r="72" customFormat="false" ht="15" hidden="false" customHeight="false" outlineLevel="0" collapsed="false">
      <c r="A72" s="30" t="n">
        <v>68</v>
      </c>
      <c r="B72" s="30" t="s">
        <v>115</v>
      </c>
      <c r="C72" s="30" t="s">
        <v>182</v>
      </c>
      <c r="D72" s="30" t="s">
        <v>204</v>
      </c>
      <c r="E72" s="31" t="s">
        <v>205</v>
      </c>
      <c r="F72" s="30" t="s">
        <v>206</v>
      </c>
      <c r="G72" s="30" t="n">
        <v>10</v>
      </c>
      <c r="H72" s="30" t="s">
        <v>83</v>
      </c>
      <c r="I72" s="32" t="s">
        <v>14</v>
      </c>
      <c r="J72" s="30" t="s">
        <v>167</v>
      </c>
    </row>
    <row r="73" customFormat="false" ht="15" hidden="false" customHeight="false" outlineLevel="0" collapsed="false">
      <c r="A73" s="30" t="n">
        <v>69</v>
      </c>
      <c r="B73" s="30" t="s">
        <v>115</v>
      </c>
      <c r="C73" s="30" t="s">
        <v>207</v>
      </c>
      <c r="D73" s="30" t="s">
        <v>208</v>
      </c>
      <c r="E73" s="31" t="s">
        <v>209</v>
      </c>
      <c r="F73" s="30" t="s">
        <v>185</v>
      </c>
      <c r="G73" s="30" t="n">
        <v>10</v>
      </c>
      <c r="H73" s="30" t="s">
        <v>83</v>
      </c>
      <c r="I73" s="32" t="s">
        <v>14</v>
      </c>
      <c r="J73" s="30" t="s">
        <v>210</v>
      </c>
    </row>
    <row r="74" customFormat="false" ht="15" hidden="false" customHeight="false" outlineLevel="0" collapsed="false">
      <c r="A74" s="30" t="n">
        <v>70</v>
      </c>
      <c r="B74" s="30" t="s">
        <v>115</v>
      </c>
      <c r="C74" s="30" t="s">
        <v>207</v>
      </c>
      <c r="D74" s="30" t="s">
        <v>211</v>
      </c>
      <c r="E74" s="31" t="s">
        <v>212</v>
      </c>
      <c r="F74" s="30" t="s">
        <v>191</v>
      </c>
      <c r="G74" s="30" t="n">
        <v>10</v>
      </c>
      <c r="H74" s="30" t="s">
        <v>83</v>
      </c>
      <c r="I74" s="32" t="s">
        <v>14</v>
      </c>
      <c r="J74" s="30" t="s">
        <v>210</v>
      </c>
    </row>
    <row r="75" customFormat="false" ht="15" hidden="false" customHeight="false" outlineLevel="0" collapsed="false">
      <c r="A75" s="30" t="n">
        <v>71</v>
      </c>
      <c r="B75" s="30" t="s">
        <v>115</v>
      </c>
      <c r="C75" s="30" t="s">
        <v>207</v>
      </c>
      <c r="D75" s="30" t="s">
        <v>213</v>
      </c>
      <c r="E75" s="31" t="s">
        <v>214</v>
      </c>
      <c r="F75" s="30" t="s">
        <v>194</v>
      </c>
      <c r="G75" s="30" t="n">
        <v>10</v>
      </c>
      <c r="H75" s="30" t="s">
        <v>83</v>
      </c>
      <c r="I75" s="32" t="s">
        <v>14</v>
      </c>
      <c r="J75" s="30" t="s">
        <v>210</v>
      </c>
    </row>
    <row r="76" customFormat="false" ht="15" hidden="false" customHeight="false" outlineLevel="0" collapsed="false">
      <c r="A76" s="30" t="n">
        <v>72</v>
      </c>
      <c r="B76" s="30" t="s">
        <v>115</v>
      </c>
      <c r="C76" s="30" t="s">
        <v>207</v>
      </c>
      <c r="D76" s="30" t="s">
        <v>215</v>
      </c>
      <c r="E76" s="31" t="s">
        <v>216</v>
      </c>
      <c r="F76" s="30" t="s">
        <v>197</v>
      </c>
      <c r="G76" s="30" t="n">
        <v>10</v>
      </c>
      <c r="H76" s="30" t="s">
        <v>83</v>
      </c>
      <c r="I76" s="32" t="s">
        <v>14</v>
      </c>
      <c r="J76" s="30" t="s">
        <v>210</v>
      </c>
    </row>
    <row r="77" customFormat="false" ht="15" hidden="false" customHeight="false" outlineLevel="0" collapsed="false">
      <c r="A77" s="30" t="n">
        <v>73</v>
      </c>
      <c r="B77" s="30" t="s">
        <v>115</v>
      </c>
      <c r="C77" s="30" t="s">
        <v>217</v>
      </c>
      <c r="D77" s="30" t="s">
        <v>218</v>
      </c>
      <c r="E77" s="31" t="s">
        <v>219</v>
      </c>
      <c r="F77" s="30" t="s">
        <v>119</v>
      </c>
      <c r="G77" s="30" t="n">
        <v>10</v>
      </c>
      <c r="H77" s="30" t="s">
        <v>83</v>
      </c>
      <c r="I77" s="32" t="s">
        <v>14</v>
      </c>
      <c r="J77" s="30" t="s">
        <v>210</v>
      </c>
    </row>
    <row r="78" customFormat="false" ht="15" hidden="false" customHeight="false" outlineLevel="0" collapsed="false">
      <c r="A78" s="30" t="n">
        <v>74</v>
      </c>
      <c r="B78" s="30" t="s">
        <v>115</v>
      </c>
      <c r="C78" s="30" t="s">
        <v>217</v>
      </c>
      <c r="D78" s="30" t="s">
        <v>220</v>
      </c>
      <c r="E78" s="31" t="s">
        <v>221</v>
      </c>
      <c r="F78" s="30" t="s">
        <v>119</v>
      </c>
      <c r="G78" s="30" t="n">
        <v>10</v>
      </c>
      <c r="H78" s="30" t="s">
        <v>83</v>
      </c>
      <c r="I78" s="32" t="s">
        <v>14</v>
      </c>
      <c r="J78" s="30" t="s">
        <v>210</v>
      </c>
    </row>
    <row r="79" customFormat="false" ht="15" hidden="false" customHeight="false" outlineLevel="0" collapsed="false">
      <c r="A79" s="30" t="n">
        <v>75</v>
      </c>
      <c r="B79" s="30" t="s">
        <v>115</v>
      </c>
      <c r="C79" s="30" t="s">
        <v>217</v>
      </c>
      <c r="D79" s="30" t="s">
        <v>222</v>
      </c>
      <c r="E79" s="31" t="s">
        <v>223</v>
      </c>
      <c r="F79" s="30" t="s">
        <v>123</v>
      </c>
      <c r="G79" s="30" t="n">
        <v>10</v>
      </c>
      <c r="H79" s="30" t="s">
        <v>83</v>
      </c>
      <c r="I79" s="32" t="s">
        <v>14</v>
      </c>
      <c r="J79" s="30" t="s">
        <v>210</v>
      </c>
    </row>
    <row r="80" customFormat="false" ht="15" hidden="false" customHeight="false" outlineLevel="0" collapsed="false">
      <c r="A80" s="30" t="n">
        <v>76</v>
      </c>
      <c r="B80" s="30" t="s">
        <v>115</v>
      </c>
      <c r="C80" s="30" t="s">
        <v>217</v>
      </c>
      <c r="D80" s="30" t="s">
        <v>224</v>
      </c>
      <c r="E80" s="31" t="s">
        <v>225</v>
      </c>
      <c r="F80" s="30" t="s">
        <v>130</v>
      </c>
      <c r="G80" s="30" t="n">
        <v>10</v>
      </c>
      <c r="H80" s="30" t="s">
        <v>83</v>
      </c>
      <c r="I80" s="32" t="s">
        <v>14</v>
      </c>
      <c r="J80" s="30" t="s">
        <v>210</v>
      </c>
    </row>
    <row r="81" customFormat="false" ht="15" hidden="false" customHeight="false" outlineLevel="0" collapsed="false">
      <c r="A81" s="30" t="n">
        <v>77</v>
      </c>
      <c r="B81" s="30" t="s">
        <v>115</v>
      </c>
      <c r="C81" s="30" t="s">
        <v>226</v>
      </c>
      <c r="D81" s="30" t="s">
        <v>227</v>
      </c>
      <c r="E81" s="31" t="s">
        <v>228</v>
      </c>
      <c r="F81" s="30" t="s">
        <v>229</v>
      </c>
      <c r="G81" s="30" t="n">
        <v>5</v>
      </c>
      <c r="H81" s="30" t="s">
        <v>83</v>
      </c>
      <c r="I81" s="32" t="s">
        <v>14</v>
      </c>
      <c r="J81" s="30" t="s">
        <v>210</v>
      </c>
    </row>
    <row r="82" customFormat="false" ht="15" hidden="false" customHeight="false" outlineLevel="0" collapsed="false">
      <c r="A82" s="30" t="n">
        <v>78</v>
      </c>
      <c r="B82" s="30" t="s">
        <v>115</v>
      </c>
      <c r="C82" s="30" t="s">
        <v>226</v>
      </c>
      <c r="D82" s="30" t="s">
        <v>230</v>
      </c>
      <c r="E82" s="31" t="s">
        <v>231</v>
      </c>
      <c r="F82" s="30" t="s">
        <v>229</v>
      </c>
      <c r="G82" s="30" t="n">
        <v>5</v>
      </c>
      <c r="H82" s="30" t="s">
        <v>83</v>
      </c>
      <c r="I82" s="32" t="s">
        <v>14</v>
      </c>
      <c r="J82" s="30" t="s">
        <v>210</v>
      </c>
    </row>
    <row r="83" customFormat="false" ht="22.35" hidden="false" customHeight="false" outlineLevel="0" collapsed="false">
      <c r="A83" s="30" t="n">
        <v>79</v>
      </c>
      <c r="B83" s="30" t="s">
        <v>232</v>
      </c>
      <c r="C83" s="30" t="s">
        <v>233</v>
      </c>
      <c r="D83" s="30" t="s">
        <v>234</v>
      </c>
      <c r="E83" s="31" t="s">
        <v>235</v>
      </c>
      <c r="F83" s="30" t="s">
        <v>68</v>
      </c>
      <c r="G83" s="30" t="n">
        <v>10</v>
      </c>
      <c r="H83" s="30" t="s">
        <v>83</v>
      </c>
      <c r="I83" s="32" t="s">
        <v>14</v>
      </c>
      <c r="J83" s="30" t="s">
        <v>236</v>
      </c>
    </row>
    <row r="84" customFormat="false" ht="22.35" hidden="false" customHeight="false" outlineLevel="0" collapsed="false">
      <c r="A84" s="30" t="n">
        <v>80</v>
      </c>
      <c r="B84" s="30" t="s">
        <v>232</v>
      </c>
      <c r="C84" s="30" t="s">
        <v>233</v>
      </c>
      <c r="D84" s="30" t="s">
        <v>237</v>
      </c>
      <c r="E84" s="31" t="s">
        <v>238</v>
      </c>
      <c r="F84" s="30" t="s">
        <v>70</v>
      </c>
      <c r="G84" s="30" t="n">
        <v>10</v>
      </c>
      <c r="H84" s="30" t="s">
        <v>83</v>
      </c>
      <c r="I84" s="32" t="s">
        <v>14</v>
      </c>
      <c r="J84" s="30" t="s">
        <v>236</v>
      </c>
    </row>
    <row r="85" customFormat="false" ht="22.35" hidden="false" customHeight="false" outlineLevel="0" collapsed="false">
      <c r="A85" s="30" t="n">
        <v>81</v>
      </c>
      <c r="B85" s="30" t="s">
        <v>232</v>
      </c>
      <c r="C85" s="30" t="s">
        <v>233</v>
      </c>
      <c r="D85" s="30" t="s">
        <v>239</v>
      </c>
      <c r="E85" s="31" t="s">
        <v>240</v>
      </c>
      <c r="F85" s="30" t="s">
        <v>72</v>
      </c>
      <c r="G85" s="30" t="n">
        <v>10</v>
      </c>
      <c r="H85" s="30" t="s">
        <v>83</v>
      </c>
      <c r="I85" s="32" t="s">
        <v>14</v>
      </c>
      <c r="J85" s="30" t="s">
        <v>236</v>
      </c>
    </row>
    <row r="86" customFormat="false" ht="22.35" hidden="false" customHeight="false" outlineLevel="0" collapsed="false">
      <c r="A86" s="30" t="n">
        <v>82</v>
      </c>
      <c r="B86" s="30" t="s">
        <v>232</v>
      </c>
      <c r="C86" s="30" t="s">
        <v>241</v>
      </c>
      <c r="D86" s="30" t="s">
        <v>242</v>
      </c>
      <c r="E86" s="31" t="s">
        <v>243</v>
      </c>
      <c r="F86" s="30" t="s">
        <v>68</v>
      </c>
      <c r="G86" s="30" t="n">
        <v>10</v>
      </c>
      <c r="H86" s="30" t="s">
        <v>83</v>
      </c>
      <c r="I86" s="32" t="s">
        <v>14</v>
      </c>
      <c r="J86" s="30" t="s">
        <v>236</v>
      </c>
    </row>
    <row r="87" customFormat="false" ht="22.35" hidden="false" customHeight="false" outlineLevel="0" collapsed="false">
      <c r="A87" s="30" t="n">
        <v>83</v>
      </c>
      <c r="B87" s="30" t="s">
        <v>232</v>
      </c>
      <c r="C87" s="30" t="s">
        <v>241</v>
      </c>
      <c r="D87" s="30" t="s">
        <v>244</v>
      </c>
      <c r="E87" s="31" t="s">
        <v>245</v>
      </c>
      <c r="F87" s="30" t="s">
        <v>70</v>
      </c>
      <c r="G87" s="30" t="n">
        <v>10</v>
      </c>
      <c r="H87" s="30" t="s">
        <v>83</v>
      </c>
      <c r="I87" s="32" t="s">
        <v>14</v>
      </c>
      <c r="J87" s="30" t="s">
        <v>236</v>
      </c>
    </row>
    <row r="88" customFormat="false" ht="22.35" hidden="false" customHeight="false" outlineLevel="0" collapsed="false">
      <c r="A88" s="33" t="n">
        <v>84</v>
      </c>
      <c r="B88" s="33" t="s">
        <v>246</v>
      </c>
      <c r="C88" s="33" t="s">
        <v>247</v>
      </c>
      <c r="D88" s="33" t="s">
        <v>248</v>
      </c>
      <c r="E88" s="34" t="s">
        <v>249</v>
      </c>
      <c r="F88" s="33" t="s">
        <v>250</v>
      </c>
      <c r="G88" s="33" t="n">
        <v>1</v>
      </c>
      <c r="H88" s="33" t="s">
        <v>251</v>
      </c>
      <c r="I88" s="35" t="s">
        <v>142</v>
      </c>
      <c r="J88" s="33" t="s">
        <v>252</v>
      </c>
    </row>
  </sheetData>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3" min="2" style="0" width="9"/>
    <col collapsed="false" customWidth="true" hidden="false" outlineLevel="0" max="4" min="4" style="0" width="11"/>
    <col collapsed="false" customWidth="true" hidden="false" outlineLevel="0" max="6" min="5" style="0" width="12"/>
    <col collapsed="false" customWidth="true" hidden="false" outlineLevel="0" max="8" min="7" style="0" width="13"/>
    <col collapsed="false" customWidth="true" hidden="false" outlineLevel="0" max="9" min="9" style="0" width="11"/>
  </cols>
  <sheetData>
    <row r="1" customFormat="false" ht="25.5" hidden="false" customHeight="true" outlineLevel="0" collapsed="false">
      <c r="A1" s="28" t="s">
        <v>253</v>
      </c>
      <c r="B1" s="28"/>
      <c r="C1" s="28"/>
      <c r="D1" s="28"/>
      <c r="E1" s="28"/>
      <c r="F1" s="28"/>
      <c r="G1" s="28"/>
      <c r="H1" s="28"/>
      <c r="I1" s="28"/>
    </row>
    <row r="2" customFormat="false" ht="25.5" hidden="false" customHeight="true" outlineLevel="0" collapsed="false">
      <c r="A2" s="29" t="s">
        <v>254</v>
      </c>
      <c r="B2" s="29"/>
      <c r="C2" s="29"/>
      <c r="D2" s="29"/>
      <c r="E2" s="29"/>
      <c r="F2" s="29"/>
      <c r="G2" s="29"/>
      <c r="H2" s="29"/>
      <c r="I2" s="29"/>
    </row>
    <row r="4" customFormat="false" ht="15" hidden="false" customHeight="true" outlineLevel="0" collapsed="false">
      <c r="A4" s="3" t="s">
        <v>255</v>
      </c>
      <c r="B4" s="3"/>
      <c r="C4" s="3"/>
      <c r="D4" s="3"/>
      <c r="E4" s="3"/>
      <c r="F4" s="3"/>
      <c r="G4" s="3"/>
      <c r="H4" s="3"/>
      <c r="I4" s="3"/>
    </row>
    <row r="5" customFormat="false" ht="22.35" hidden="false" customHeight="false" outlineLevel="0" collapsed="false">
      <c r="A5" s="36" t="s">
        <v>256</v>
      </c>
      <c r="B5" s="36" t="s">
        <v>257</v>
      </c>
      <c r="C5" s="36" t="s">
        <v>258</v>
      </c>
      <c r="D5" s="36" t="s">
        <v>259</v>
      </c>
      <c r="E5" s="36" t="s">
        <v>260</v>
      </c>
      <c r="F5" s="36" t="s">
        <v>261</v>
      </c>
      <c r="G5" s="36" t="s">
        <v>262</v>
      </c>
      <c r="H5" s="36" t="s">
        <v>263</v>
      </c>
    </row>
    <row r="6" customFormat="false" ht="15" hidden="false" customHeight="false" outlineLevel="0" collapsed="false">
      <c r="A6" s="31" t="s">
        <v>264</v>
      </c>
      <c r="B6" s="37" t="n">
        <v>200</v>
      </c>
      <c r="C6" s="38" t="n">
        <v>770</v>
      </c>
      <c r="D6" s="39" t="n">
        <f aca="false">4700*C6/SUMPRODUCT($B6:$B20,$C6:$C20)</f>
        <v>0.37460665783372</v>
      </c>
      <c r="E6" s="37" t="n">
        <f aca="false">D6*Summary!$C$5</f>
        <v>114.255030639285</v>
      </c>
      <c r="F6" s="37" t="n">
        <f aca="false">E6*Summary!$C$6</f>
        <v>143.961338605499</v>
      </c>
      <c r="G6" s="37" t="n">
        <f aca="false">C6</f>
        <v>770</v>
      </c>
      <c r="H6" s="40" t="n">
        <f aca="false">IFERROR(G6/F6-1,0)</f>
        <v>4.34865824018248</v>
      </c>
    </row>
    <row r="7" customFormat="false" ht="15" hidden="false" customHeight="false" outlineLevel="0" collapsed="false">
      <c r="A7" s="31" t="s">
        <v>265</v>
      </c>
      <c r="B7" s="37" t="n">
        <v>200</v>
      </c>
      <c r="C7" s="38" t="n">
        <v>910</v>
      </c>
      <c r="D7" s="39" t="n">
        <f aca="false">4700*C7/SUMPRODUCT($B6:$B20,$C6:$C20)</f>
        <v>0.442716959258032</v>
      </c>
      <c r="E7" s="37" t="n">
        <f aca="false">D7*Summary!$C$5</f>
        <v>135.0286725737</v>
      </c>
      <c r="F7" s="37" t="n">
        <f aca="false">E7*Summary!$C$6</f>
        <v>170.136127442862</v>
      </c>
      <c r="G7" s="37" t="n">
        <f aca="false">C7</f>
        <v>910</v>
      </c>
      <c r="H7" s="40" t="n">
        <f aca="false">IFERROR(G7/F7-1,0)</f>
        <v>4.34865824018248</v>
      </c>
    </row>
    <row r="8" customFormat="false" ht="15" hidden="false" customHeight="false" outlineLevel="0" collapsed="false">
      <c r="A8" s="31" t="s">
        <v>266</v>
      </c>
      <c r="B8" s="37" t="n">
        <v>200</v>
      </c>
      <c r="C8" s="38" t="n">
        <v>1050</v>
      </c>
      <c r="D8" s="39" t="n">
        <f aca="false">4700*C8/SUMPRODUCT($B6:$B20,$C6:$C20)</f>
        <v>0.510827260682345</v>
      </c>
      <c r="E8" s="37" t="n">
        <f aca="false">D8*Summary!$C$5</f>
        <v>155.802314508115</v>
      </c>
      <c r="F8" s="37" t="n">
        <f aca="false">E8*Summary!$C$6</f>
        <v>196.310916280225</v>
      </c>
      <c r="G8" s="37" t="n">
        <f aca="false">C8</f>
        <v>1050</v>
      </c>
      <c r="H8" s="40" t="n">
        <f aca="false">IFERROR(G8/F8-1,0)</f>
        <v>4.34865824018248</v>
      </c>
    </row>
    <row r="9" customFormat="false" ht="15" hidden="false" customHeight="false" outlineLevel="0" collapsed="false">
      <c r="A9" s="31" t="s">
        <v>267</v>
      </c>
      <c r="B9" s="37" t="n">
        <v>200</v>
      </c>
      <c r="C9" s="38" t="n">
        <v>1100</v>
      </c>
      <c r="D9" s="39" t="n">
        <f aca="false">4700*C9/SUMPRODUCT($B6:$B20,$C6:$C20)</f>
        <v>0.535152368333885</v>
      </c>
      <c r="E9" s="37" t="n">
        <f aca="false">D9*Summary!$C$5</f>
        <v>163.221472341835</v>
      </c>
      <c r="F9" s="37" t="n">
        <f aca="false">E9*Summary!$C$6</f>
        <v>205.659055150712</v>
      </c>
      <c r="G9" s="37" t="n">
        <f aca="false">C9</f>
        <v>1100</v>
      </c>
      <c r="H9" s="40" t="n">
        <f aca="false">IFERROR(G9/F9-1,0)</f>
        <v>4.34865824018248</v>
      </c>
    </row>
    <row r="10" customFormat="false" ht="15" hidden="false" customHeight="false" outlineLevel="0" collapsed="false">
      <c r="A10" s="31" t="s">
        <v>268</v>
      </c>
      <c r="B10" s="37" t="n">
        <v>200</v>
      </c>
      <c r="C10" s="38" t="n">
        <v>1300</v>
      </c>
      <c r="D10" s="39" t="n">
        <f aca="false">4700*C10/SUMPRODUCT($B6:$B20,$C6:$C20)</f>
        <v>0.632452798940046</v>
      </c>
      <c r="E10" s="37" t="n">
        <f aca="false">D10*Summary!$C$5</f>
        <v>192.898103676714</v>
      </c>
      <c r="F10" s="37" t="n">
        <f aca="false">E10*Summary!$C$6</f>
        <v>243.05161063266</v>
      </c>
      <c r="G10" s="37" t="n">
        <f aca="false">C10</f>
        <v>1300</v>
      </c>
      <c r="H10" s="40" t="n">
        <f aca="false">IFERROR(G10/F10-1,0)</f>
        <v>4.34865824018248</v>
      </c>
    </row>
    <row r="11" customFormat="false" ht="15" hidden="false" customHeight="false" outlineLevel="0" collapsed="false">
      <c r="A11" s="31" t="s">
        <v>269</v>
      </c>
      <c r="B11" s="37" t="n">
        <v>200</v>
      </c>
      <c r="C11" s="38" t="n">
        <v>1500</v>
      </c>
      <c r="D11" s="39" t="n">
        <f aca="false">4700*C11/SUMPRODUCT($B6:$B20,$C6:$C20)</f>
        <v>0.729753229546207</v>
      </c>
      <c r="E11" s="37" t="n">
        <f aca="false">D11*Summary!$C$5</f>
        <v>222.574735011593</v>
      </c>
      <c r="F11" s="37" t="n">
        <f aca="false">E11*Summary!$C$6</f>
        <v>280.444166114607</v>
      </c>
      <c r="G11" s="37" t="n">
        <f aca="false">C11</f>
        <v>1500</v>
      </c>
      <c r="H11" s="40" t="n">
        <f aca="false">IFERROR(G11/F11-1,0)</f>
        <v>4.34865824018248</v>
      </c>
    </row>
    <row r="12" customFormat="false" ht="15" hidden="false" customHeight="false" outlineLevel="0" collapsed="false">
      <c r="A12" s="31" t="s">
        <v>270</v>
      </c>
      <c r="B12" s="37" t="n">
        <v>200</v>
      </c>
      <c r="C12" s="38" t="n">
        <v>1900</v>
      </c>
      <c r="D12" s="39" t="n">
        <f aca="false">4700*C12/SUMPRODUCT($B6:$B20,$C6:$C20)</f>
        <v>0.924354090758529</v>
      </c>
      <c r="E12" s="37" t="n">
        <f aca="false">D12*Summary!$C$5</f>
        <v>281.927997681352</v>
      </c>
      <c r="F12" s="37" t="n">
        <f aca="false">E12*Summary!$C$6</f>
        <v>355.229277078503</v>
      </c>
      <c r="G12" s="37" t="n">
        <f aca="false">C12</f>
        <v>1900</v>
      </c>
      <c r="H12" s="40" t="n">
        <f aca="false">IFERROR(G12/F12-1,0)</f>
        <v>4.34865824018248</v>
      </c>
    </row>
    <row r="13" customFormat="false" ht="15" hidden="false" customHeight="false" outlineLevel="0" collapsed="false">
      <c r="A13" s="31" t="s">
        <v>271</v>
      </c>
      <c r="B13" s="37" t="n">
        <v>200</v>
      </c>
      <c r="C13" s="38" t="n">
        <v>2450</v>
      </c>
      <c r="D13" s="39" t="n">
        <f aca="false">4700*C13/SUMPRODUCT($B6:$B20,$C6:$C20)</f>
        <v>1.19193027492547</v>
      </c>
      <c r="E13" s="37" t="n">
        <f aca="false">D13*Summary!$C$5</f>
        <v>363.538733852269</v>
      </c>
      <c r="F13" s="37" t="n">
        <f aca="false">E13*Summary!$C$6</f>
        <v>458.058804653859</v>
      </c>
      <c r="G13" s="37" t="n">
        <f aca="false">C13</f>
        <v>2450</v>
      </c>
      <c r="H13" s="40" t="n">
        <f aca="false">IFERROR(G13/F13-1,0)</f>
        <v>4.34865824018248</v>
      </c>
    </row>
    <row r="14" customFormat="false" ht="15" hidden="false" customHeight="false" outlineLevel="0" collapsed="false">
      <c r="A14" s="31" t="s">
        <v>272</v>
      </c>
      <c r="B14" s="37" t="n">
        <v>200</v>
      </c>
      <c r="C14" s="38" t="n">
        <v>3000</v>
      </c>
      <c r="D14" s="39" t="n">
        <f aca="false">4700*C14/SUMPRODUCT($B6:$B20,$C6:$C20)</f>
        <v>1.45950645909241</v>
      </c>
      <c r="E14" s="37" t="n">
        <f aca="false">D14*Summary!$C$5</f>
        <v>445.149470023187</v>
      </c>
      <c r="F14" s="37" t="n">
        <f aca="false">E14*Summary!$C$6</f>
        <v>560.888332229215</v>
      </c>
      <c r="G14" s="37" t="n">
        <f aca="false">C14</f>
        <v>3000</v>
      </c>
      <c r="H14" s="40" t="n">
        <f aca="false">IFERROR(G14/F14-1,0)</f>
        <v>4.34865824018248</v>
      </c>
    </row>
    <row r="15" customFormat="false" ht="15" hidden="false" customHeight="false" outlineLevel="0" collapsed="false">
      <c r="A15" s="31" t="s">
        <v>273</v>
      </c>
      <c r="B15" s="37" t="n">
        <v>200</v>
      </c>
      <c r="C15" s="38" t="n">
        <v>4300</v>
      </c>
      <c r="D15" s="39" t="n">
        <f aca="false">4700*C15/SUMPRODUCT($B6:$B20,$C6:$C20)</f>
        <v>2.09195925803246</v>
      </c>
      <c r="E15" s="37" t="n">
        <f aca="false">D15*Summary!$C$5</f>
        <v>638.047573699901</v>
      </c>
      <c r="F15" s="37" t="n">
        <f aca="false">E15*Summary!$C$6</f>
        <v>803.939942861875</v>
      </c>
      <c r="G15" s="37" t="n">
        <f aca="false">C15</f>
        <v>4300</v>
      </c>
      <c r="H15" s="40" t="n">
        <f aca="false">IFERROR(G15/F15-1,0)</f>
        <v>4.34865824018248</v>
      </c>
    </row>
    <row r="16" customFormat="false" ht="15" hidden="false" customHeight="false" outlineLevel="0" collapsed="false">
      <c r="A16" s="31" t="s">
        <v>274</v>
      </c>
      <c r="B16" s="37" t="n">
        <v>120</v>
      </c>
      <c r="C16" s="38" t="n">
        <v>6000</v>
      </c>
      <c r="D16" s="39" t="n">
        <f aca="false">4700*C16/SUMPRODUCT($B6:$B20,$C6:$C20)</f>
        <v>2.91901291818483</v>
      </c>
      <c r="E16" s="37" t="n">
        <f aca="false">D16*Summary!$C$5</f>
        <v>890.298940046373</v>
      </c>
      <c r="F16" s="37" t="n">
        <f aca="false">E16*Summary!$C$6</f>
        <v>1121.77666445843</v>
      </c>
      <c r="G16" s="37" t="n">
        <f aca="false">C16</f>
        <v>6000</v>
      </c>
      <c r="H16" s="40" t="n">
        <f aca="false">IFERROR(G16/F16-1,0)</f>
        <v>4.34865824018248</v>
      </c>
    </row>
    <row r="17" customFormat="false" ht="15" hidden="false" customHeight="false" outlineLevel="0" collapsed="false">
      <c r="A17" s="31" t="s">
        <v>275</v>
      </c>
      <c r="B17" s="37" t="n">
        <v>120</v>
      </c>
      <c r="C17" s="38" t="n">
        <v>6130</v>
      </c>
      <c r="D17" s="39" t="n">
        <f aca="false">4700*C17/SUMPRODUCT($B6:$B20,$C6:$C20)</f>
        <v>2.98225819807883</v>
      </c>
      <c r="E17" s="37" t="n">
        <f aca="false">D17*Summary!$C$5</f>
        <v>909.588750414044</v>
      </c>
      <c r="F17" s="37" t="n">
        <f aca="false">E17*Summary!$C$6</f>
        <v>1146.0818255217</v>
      </c>
      <c r="G17" s="37" t="n">
        <f aca="false">C17</f>
        <v>6130</v>
      </c>
      <c r="H17" s="40" t="n">
        <f aca="false">IFERROR(G17/F17-1,0)</f>
        <v>4.34865824018248</v>
      </c>
    </row>
    <row r="18" customFormat="false" ht="15" hidden="false" customHeight="false" outlineLevel="0" collapsed="false">
      <c r="A18" s="31" t="s">
        <v>276</v>
      </c>
      <c r="B18" s="37" t="n">
        <v>120</v>
      </c>
      <c r="C18" s="38" t="n">
        <v>8550</v>
      </c>
      <c r="D18" s="39" t="n">
        <f aca="false">4700*C18/SUMPRODUCT($B6:$B20,$C6:$C20)</f>
        <v>4.15959340841338</v>
      </c>
      <c r="E18" s="37" t="n">
        <f aca="false">D18*Summary!$C$5</f>
        <v>1268.67598956608</v>
      </c>
      <c r="F18" s="37" t="n">
        <f aca="false">E18*Summary!$C$6</f>
        <v>1598.53174685326</v>
      </c>
      <c r="G18" s="37" t="n">
        <f aca="false">C18</f>
        <v>8550</v>
      </c>
      <c r="H18" s="40" t="n">
        <f aca="false">IFERROR(G18/F18-1,0)</f>
        <v>4.34865824018248</v>
      </c>
    </row>
    <row r="19" customFormat="false" ht="15" hidden="false" customHeight="false" outlineLevel="0" collapsed="false">
      <c r="A19" s="31" t="s">
        <v>277</v>
      </c>
      <c r="B19" s="37" t="n">
        <v>120</v>
      </c>
      <c r="C19" s="38" t="n">
        <v>12260</v>
      </c>
      <c r="D19" s="39" t="n">
        <f aca="false">4700*C19/SUMPRODUCT($B6:$B20,$C6:$C20)</f>
        <v>5.96451639615767</v>
      </c>
      <c r="E19" s="37" t="n">
        <f aca="false">D19*Summary!$C$5</f>
        <v>1819.17750082809</v>
      </c>
      <c r="F19" s="37" t="n">
        <f aca="false">E19*Summary!$C$6</f>
        <v>2292.16365104339</v>
      </c>
      <c r="G19" s="37" t="n">
        <f aca="false">C19</f>
        <v>12260</v>
      </c>
      <c r="H19" s="40" t="n">
        <f aca="false">IFERROR(G19/F19-1,0)</f>
        <v>4.34865824018248</v>
      </c>
    </row>
    <row r="20" customFormat="false" ht="15" hidden="false" customHeight="false" outlineLevel="0" collapsed="false">
      <c r="A20" s="31" t="s">
        <v>278</v>
      </c>
      <c r="B20" s="37" t="n">
        <v>120</v>
      </c>
      <c r="C20" s="38" t="n">
        <v>17100</v>
      </c>
      <c r="D20" s="39" t="n">
        <f aca="false">4700*C20/SUMPRODUCT($B6:$B20,$C6:$C20)</f>
        <v>8.31918681682677</v>
      </c>
      <c r="E20" s="37" t="n">
        <f aca="false">D20*Summary!$C$5</f>
        <v>2537.35197913216</v>
      </c>
      <c r="F20" s="37" t="n">
        <f aca="false">E20*Summary!$C$6</f>
        <v>3197.06349370653</v>
      </c>
      <c r="G20" s="37" t="n">
        <f aca="false">C20</f>
        <v>17100</v>
      </c>
      <c r="H20" s="40" t="n">
        <f aca="false">IFERROR(G20/F20-1,0)</f>
        <v>4.34865824018248</v>
      </c>
    </row>
    <row r="21" customFormat="false" ht="15" hidden="false" customHeight="false" outlineLevel="0" collapsed="false">
      <c r="A21" s="41" t="s">
        <v>279</v>
      </c>
      <c r="B21" s="42" t="n">
        <f aca="false">SUM(B6:B20)</f>
        <v>2600</v>
      </c>
      <c r="C21" s="17"/>
      <c r="D21" s="17"/>
      <c r="E21" s="17"/>
      <c r="F21" s="42" t="n">
        <f aca="false">SUMPRODUCT(B6:B20,F6:F20)/SUM(B6:B20)</f>
        <v>694.696153846154</v>
      </c>
      <c r="G21" s="42" t="n">
        <f aca="false">SUMPRODUCT(B6:B20,G6:G20)/SUM(B6:B20)</f>
        <v>3715.69230769231</v>
      </c>
      <c r="H21" s="43" t="n">
        <f aca="false">G21/F21-1</f>
        <v>4.34865824018248</v>
      </c>
    </row>
    <row r="23" customFormat="false" ht="15" hidden="false" customHeight="true" outlineLevel="0" collapsed="false">
      <c r="A23" s="3" t="s">
        <v>280</v>
      </c>
      <c r="B23" s="3"/>
      <c r="C23" s="3"/>
      <c r="D23" s="3"/>
      <c r="E23" s="3"/>
      <c r="F23" s="3"/>
      <c r="G23" s="3"/>
      <c r="H23" s="3"/>
      <c r="I23" s="3"/>
    </row>
    <row r="24" customFormat="false" ht="22.35" hidden="false" customHeight="false" outlineLevel="0" collapsed="false">
      <c r="A24" s="36" t="s">
        <v>39</v>
      </c>
      <c r="B24" s="36" t="s">
        <v>281</v>
      </c>
      <c r="C24" s="36" t="s">
        <v>282</v>
      </c>
      <c r="D24" s="36" t="s">
        <v>283</v>
      </c>
      <c r="E24" s="36" t="s">
        <v>284</v>
      </c>
      <c r="F24" s="36" t="s">
        <v>285</v>
      </c>
      <c r="G24" s="36" t="s">
        <v>286</v>
      </c>
      <c r="H24" s="36" t="s">
        <v>287</v>
      </c>
    </row>
    <row r="25" customFormat="false" ht="15" hidden="false" customHeight="false" outlineLevel="0" collapsed="false">
      <c r="A25" s="31" t="s">
        <v>288</v>
      </c>
      <c r="B25" s="37" t="n">
        <v>90</v>
      </c>
      <c r="C25" s="39" t="n">
        <v>1165.29</v>
      </c>
      <c r="D25" s="39" t="n">
        <v>233.06</v>
      </c>
      <c r="E25" s="39" t="n">
        <f aca="false">D25/B25</f>
        <v>2.58955555555556</v>
      </c>
      <c r="F25" s="37" t="n">
        <f aca="false">E25*Summary!$C$5</f>
        <v>789.814444444445</v>
      </c>
      <c r="G25" s="44" t="n">
        <f aca="false">F25*Summary!$C$6</f>
        <v>995.1662</v>
      </c>
      <c r="H25" s="45"/>
    </row>
    <row r="26" customFormat="false" ht="15" hidden="false" customHeight="false" outlineLevel="0" collapsed="false">
      <c r="A26" s="31" t="s">
        <v>289</v>
      </c>
      <c r="B26" s="37" t="n">
        <v>240</v>
      </c>
      <c r="C26" s="39" t="n">
        <v>1165.29</v>
      </c>
      <c r="D26" s="39" t="n">
        <v>621.49</v>
      </c>
      <c r="E26" s="39" t="n">
        <f aca="false">D26/B26</f>
        <v>2.58954166666667</v>
      </c>
      <c r="F26" s="37" t="n">
        <f aca="false">E26*Summary!$C$5</f>
        <v>789.810208333333</v>
      </c>
      <c r="G26" s="44" t="n">
        <f aca="false">F26*Summary!$C$6</f>
        <v>995.1608625</v>
      </c>
      <c r="H26" s="45"/>
    </row>
    <row r="27" customFormat="false" ht="22.35" hidden="false" customHeight="false" outlineLevel="0" collapsed="false">
      <c r="A27" s="31" t="s">
        <v>290</v>
      </c>
      <c r="B27" s="37" t="n">
        <v>120</v>
      </c>
      <c r="C27" s="39" t="n">
        <v>1165.29</v>
      </c>
      <c r="D27" s="39" t="n">
        <v>310.74</v>
      </c>
      <c r="E27" s="39" t="n">
        <f aca="false">D27/B27</f>
        <v>2.5895</v>
      </c>
      <c r="F27" s="37" t="n">
        <f aca="false">E27*Summary!$C$5</f>
        <v>789.7975</v>
      </c>
      <c r="G27" s="44" t="n">
        <f aca="false">F27*Summary!$C$6</f>
        <v>995.14485</v>
      </c>
      <c r="H27" s="45"/>
    </row>
    <row r="28" customFormat="false" ht="22.35" hidden="false" customHeight="false" outlineLevel="0" collapsed="false">
      <c r="A28" s="31" t="s">
        <v>291</v>
      </c>
      <c r="B28" s="37" t="n">
        <v>925</v>
      </c>
      <c r="C28" s="39" t="n">
        <v>828</v>
      </c>
      <c r="D28" s="39" t="n">
        <v>828</v>
      </c>
      <c r="E28" s="39" t="n">
        <f aca="false">D28/B28</f>
        <v>0.895135135135135</v>
      </c>
      <c r="F28" s="37" t="n">
        <f aca="false">E28*Summary!$C$5</f>
        <v>273.016216216216</v>
      </c>
      <c r="G28" s="44" t="n">
        <f aca="false">F28*Summary!$C$6</f>
        <v>344.000432432432</v>
      </c>
      <c r="H28" s="45"/>
    </row>
    <row r="29" customFormat="false" ht="22.35" hidden="false" customHeight="false" outlineLevel="0" collapsed="false">
      <c r="A29" s="31" t="s">
        <v>292</v>
      </c>
      <c r="B29" s="37" t="n">
        <v>1260</v>
      </c>
      <c r="C29" s="39" t="n">
        <v>1032</v>
      </c>
      <c r="D29" s="39" t="n">
        <v>1032</v>
      </c>
      <c r="E29" s="39" t="n">
        <f aca="false">D29/B29</f>
        <v>0.819047619047619</v>
      </c>
      <c r="F29" s="37" t="n">
        <f aca="false">E29*Summary!$C$5</f>
        <v>249.809523809524</v>
      </c>
      <c r="G29" s="44" t="n">
        <f aca="false">F29*Summary!$C$6</f>
        <v>314.76</v>
      </c>
      <c r="H29" s="45"/>
    </row>
    <row r="30" customFormat="false" ht="22.35" hidden="false" customHeight="false" outlineLevel="0" collapsed="false">
      <c r="A30" s="31" t="s">
        <v>293</v>
      </c>
      <c r="B30" s="37" t="n">
        <v>90</v>
      </c>
      <c r="C30" s="39" t="n">
        <v>70</v>
      </c>
      <c r="D30" s="39" t="n">
        <v>70</v>
      </c>
      <c r="E30" s="39" t="n">
        <f aca="false">D30/B30</f>
        <v>0.777777777777778</v>
      </c>
      <c r="F30" s="37" t="n">
        <f aca="false">E30*Summary!$C$5</f>
        <v>237.222222222222</v>
      </c>
      <c r="G30" s="44" t="n">
        <f aca="false">F30*Summary!$C$6</f>
        <v>298.9</v>
      </c>
      <c r="H30" s="45"/>
    </row>
    <row r="31" customFormat="false" ht="22.35" hidden="false" customHeight="false" outlineLevel="0" collapsed="false">
      <c r="A31" s="31" t="s">
        <v>294</v>
      </c>
      <c r="B31" s="37" t="n">
        <v>50</v>
      </c>
      <c r="C31" s="39" t="n">
        <v>120</v>
      </c>
      <c r="D31" s="39" t="n">
        <v>120</v>
      </c>
      <c r="E31" s="39" t="n">
        <f aca="false">D31/B31</f>
        <v>2.4</v>
      </c>
      <c r="F31" s="37" t="n">
        <f aca="false">E31*Summary!$C$5</f>
        <v>732</v>
      </c>
      <c r="G31" s="44" t="n">
        <f aca="false">F31*Summary!$C$6</f>
        <v>922.32</v>
      </c>
      <c r="H31" s="45"/>
    </row>
    <row r="32" customFormat="false" ht="15" hidden="false" customHeight="false" outlineLevel="0" collapsed="false">
      <c r="A32" s="31" t="s">
        <v>295</v>
      </c>
      <c r="B32" s="37" t="n">
        <v>1</v>
      </c>
      <c r="C32" s="39" t="n">
        <v>1700</v>
      </c>
      <c r="D32" s="39" t="n">
        <v>1700</v>
      </c>
      <c r="E32" s="39" t="n">
        <f aca="false">D32/B32</f>
        <v>1700</v>
      </c>
      <c r="F32" s="37" t="n">
        <f aca="false">E32*Summary!$C$5</f>
        <v>518500</v>
      </c>
      <c r="G32" s="44" t="n">
        <f aca="false">F32*Summary!$C$6</f>
        <v>653310</v>
      </c>
      <c r="H32" s="45"/>
    </row>
    <row r="34" customFormat="false" ht="15" hidden="false" customHeight="true" outlineLevel="0" collapsed="false">
      <c r="A34" s="46" t="s">
        <v>296</v>
      </c>
      <c r="B34" s="46"/>
      <c r="C34" s="46"/>
      <c r="D34" s="46"/>
      <c r="E34" s="46"/>
      <c r="F34" s="46"/>
      <c r="G34" s="46"/>
      <c r="H34" s="46"/>
      <c r="I34" s="46"/>
    </row>
    <row r="35" customFormat="false" ht="25.5" hidden="false" customHeight="true" outlineLevel="0" collapsed="false">
      <c r="A35" s="27" t="s">
        <v>297</v>
      </c>
      <c r="B35" s="27"/>
      <c r="C35" s="27"/>
      <c r="D35" s="27"/>
      <c r="E35" s="27"/>
      <c r="F35" s="27"/>
      <c r="G35" s="27"/>
      <c r="H35" s="27"/>
      <c r="I35" s="27"/>
    </row>
    <row r="36" customFormat="false" ht="25.5" hidden="false" customHeight="true" outlineLevel="0" collapsed="false">
      <c r="A36" s="27" t="s">
        <v>298</v>
      </c>
      <c r="B36" s="27"/>
      <c r="C36" s="27"/>
      <c r="D36" s="27"/>
      <c r="E36" s="27"/>
      <c r="F36" s="27"/>
      <c r="G36" s="27"/>
      <c r="H36" s="27"/>
      <c r="I36" s="27"/>
    </row>
    <row r="37" customFormat="false" ht="25.5" hidden="false" customHeight="true" outlineLevel="0" collapsed="false">
      <c r="A37" s="27" t="s">
        <v>299</v>
      </c>
      <c r="B37" s="27"/>
      <c r="C37" s="27"/>
      <c r="D37" s="27"/>
      <c r="E37" s="27"/>
      <c r="F37" s="27"/>
      <c r="G37" s="27"/>
      <c r="H37" s="27"/>
      <c r="I37" s="27"/>
    </row>
    <row r="38" customFormat="false" ht="25.5" hidden="false" customHeight="true" outlineLevel="0" collapsed="false">
      <c r="A38" s="27" t="s">
        <v>300</v>
      </c>
      <c r="B38" s="27"/>
      <c r="C38" s="27"/>
      <c r="D38" s="27"/>
      <c r="E38" s="27"/>
      <c r="F38" s="27"/>
      <c r="G38" s="27"/>
      <c r="H38" s="27"/>
      <c r="I38" s="27"/>
    </row>
    <row r="39" customFormat="false" ht="25.5" hidden="false" customHeight="true" outlineLevel="0" collapsed="false">
      <c r="A39" s="27" t="s">
        <v>301</v>
      </c>
      <c r="B39" s="27"/>
      <c r="C39" s="27"/>
      <c r="D39" s="27"/>
      <c r="E39" s="27"/>
      <c r="F39" s="27"/>
      <c r="G39" s="27"/>
      <c r="H39" s="27"/>
      <c r="I39" s="27"/>
    </row>
  </sheetData>
  <mergeCells count="10">
    <mergeCell ref="A1:I1"/>
    <mergeCell ref="A2:I2"/>
    <mergeCell ref="A4:I4"/>
    <mergeCell ref="A23:I23"/>
    <mergeCell ref="A34:I34"/>
    <mergeCell ref="A35:I35"/>
    <mergeCell ref="A36:I36"/>
    <mergeCell ref="A37:I37"/>
    <mergeCell ref="A38:I38"/>
    <mergeCell ref="A39:I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3"/>
    <col collapsed="false" customWidth="true" hidden="false" outlineLevel="0" max="3" min="3" style="0" width="14"/>
    <col collapsed="false" customWidth="true" hidden="false" outlineLevel="0" max="4" min="4" style="0" width="10"/>
    <col collapsed="false" customWidth="true" hidden="false" outlineLevel="0" max="5" min="5" style="0" width="33"/>
    <col collapsed="false" customWidth="true" hidden="false" outlineLevel="0" max="6" min="6" style="0" width="7"/>
    <col collapsed="false" customWidth="true" hidden="false" outlineLevel="0" max="7" min="7" style="0" width="8"/>
    <col collapsed="false" customWidth="true" hidden="false" outlineLevel="0" max="8" min="8" style="0" width="10"/>
    <col collapsed="false" customWidth="true" hidden="false" outlineLevel="0" max="9" min="9" style="0" width="12"/>
    <col collapsed="false" customWidth="true" hidden="false" outlineLevel="0" max="10" min="10" style="0" width="11"/>
    <col collapsed="false" customWidth="true" hidden="false" outlineLevel="0" max="11" min="11" style="0" width="9"/>
    <col collapsed="false" customWidth="true" hidden="false" outlineLevel="0" max="12" min="12" style="0" width="7"/>
  </cols>
  <sheetData>
    <row r="1" customFormat="false" ht="25.5" hidden="false" customHeight="true" outlineLevel="0" collapsed="false">
      <c r="A1" s="28" t="s">
        <v>302</v>
      </c>
      <c r="B1" s="28"/>
      <c r="C1" s="28"/>
      <c r="D1" s="28"/>
      <c r="E1" s="28"/>
      <c r="F1" s="28"/>
      <c r="G1" s="28"/>
      <c r="H1" s="28"/>
      <c r="I1" s="28"/>
      <c r="J1" s="28"/>
      <c r="K1" s="28"/>
      <c r="L1" s="28"/>
    </row>
    <row r="2" customFormat="false" ht="25.5" hidden="false" customHeight="true" outlineLevel="0" collapsed="false">
      <c r="A2" s="29" t="s">
        <v>303</v>
      </c>
      <c r="B2" s="29"/>
      <c r="C2" s="29"/>
      <c r="D2" s="29"/>
      <c r="E2" s="29"/>
      <c r="F2" s="29"/>
      <c r="G2" s="29"/>
      <c r="H2" s="29"/>
      <c r="I2" s="29"/>
      <c r="J2" s="29"/>
      <c r="K2" s="29"/>
      <c r="L2" s="29"/>
    </row>
    <row r="4" customFormat="false" ht="15" hidden="false" customHeight="false" outlineLevel="0" collapsed="false">
      <c r="A4" s="36" t="s">
        <v>22</v>
      </c>
      <c r="B4" s="36" t="s">
        <v>304</v>
      </c>
      <c r="C4" s="36" t="s">
        <v>305</v>
      </c>
      <c r="D4" s="36" t="s">
        <v>43</v>
      </c>
      <c r="E4" s="36" t="s">
        <v>42</v>
      </c>
      <c r="F4" s="36" t="s">
        <v>44</v>
      </c>
      <c r="G4" s="36" t="s">
        <v>306</v>
      </c>
      <c r="H4" s="36" t="s">
        <v>307</v>
      </c>
      <c r="I4" s="36" t="s">
        <v>308</v>
      </c>
      <c r="J4" s="36" t="s">
        <v>309</v>
      </c>
      <c r="K4" s="36" t="s">
        <v>310</v>
      </c>
      <c r="L4" s="36" t="s">
        <v>311</v>
      </c>
    </row>
    <row r="5" customFormat="false" ht="15" hidden="false" customHeight="true" outlineLevel="0" collapsed="false">
      <c r="A5" s="46" t="s">
        <v>312</v>
      </c>
      <c r="B5" s="46"/>
      <c r="C5" s="46"/>
      <c r="D5" s="46"/>
      <c r="E5" s="46"/>
      <c r="F5" s="46"/>
      <c r="G5" s="47" t="s">
        <v>313</v>
      </c>
      <c r="H5" s="48" t="n">
        <v>1165.29</v>
      </c>
      <c r="I5" s="49"/>
      <c r="J5" s="49"/>
      <c r="K5" s="49"/>
      <c r="L5" s="49"/>
    </row>
    <row r="6" customFormat="false" ht="15" hidden="false" customHeight="false" outlineLevel="0" collapsed="false">
      <c r="A6" s="30" t="n">
        <v>16</v>
      </c>
      <c r="B6" s="31" t="s">
        <v>80</v>
      </c>
      <c r="C6" s="30" t="s">
        <v>81</v>
      </c>
      <c r="D6" s="30" t="s">
        <v>52</v>
      </c>
      <c r="E6" s="50" t="s">
        <v>82</v>
      </c>
      <c r="F6" s="37" t="n">
        <v>30</v>
      </c>
      <c r="G6" s="38" t="n">
        <v>153</v>
      </c>
      <c r="H6" s="39" t="n">
        <f aca="false">$H$5*G6/SUMPRODUCT($F$6:$F$20,$G$6:$G$20)</f>
        <v>0.570069928057554</v>
      </c>
      <c r="I6" s="37" t="n">
        <f aca="false">H6*Summary!$C$5*Summary!$C$6</f>
        <v>219.077873352518</v>
      </c>
      <c r="J6" s="38" t="n">
        <v>351</v>
      </c>
      <c r="K6" s="40" t="n">
        <f aca="false">IFERROR(J6/I6-1,0)</f>
        <v>0.602170016664377</v>
      </c>
      <c r="L6" s="51" t="s">
        <v>14</v>
      </c>
    </row>
    <row r="7" customFormat="false" ht="15" hidden="false" customHeight="false" outlineLevel="0" collapsed="false">
      <c r="A7" s="30" t="n">
        <v>17</v>
      </c>
      <c r="B7" s="31" t="s">
        <v>80</v>
      </c>
      <c r="C7" s="30" t="s">
        <v>85</v>
      </c>
      <c r="D7" s="30" t="s">
        <v>56</v>
      </c>
      <c r="E7" s="50" t="s">
        <v>86</v>
      </c>
      <c r="F7" s="37" t="n">
        <v>30</v>
      </c>
      <c r="G7" s="38" t="n">
        <v>170</v>
      </c>
      <c r="H7" s="39" t="n">
        <f aca="false">$H$5*G7/SUMPRODUCT($F$6:$F$20,$G$6:$G$20)</f>
        <v>0.63341103117506</v>
      </c>
      <c r="I7" s="37" t="n">
        <f aca="false">H7*Summary!$C$5*Summary!$C$6</f>
        <v>243.419859280576</v>
      </c>
      <c r="J7" s="38" t="n">
        <v>389</v>
      </c>
      <c r="K7" s="40" t="n">
        <f aca="false">IFERROR(J7/I7-1,0)</f>
        <v>0.59806188841652</v>
      </c>
      <c r="L7" s="51" t="s">
        <v>14</v>
      </c>
    </row>
    <row r="8" customFormat="false" ht="19.4" hidden="false" customHeight="false" outlineLevel="0" collapsed="false">
      <c r="A8" s="30" t="n">
        <v>18</v>
      </c>
      <c r="B8" s="31" t="s">
        <v>80</v>
      </c>
      <c r="C8" s="30" t="s">
        <v>87</v>
      </c>
      <c r="D8" s="30" t="s">
        <v>58</v>
      </c>
      <c r="E8" s="50" t="s">
        <v>88</v>
      </c>
      <c r="F8" s="37" t="n">
        <v>30</v>
      </c>
      <c r="G8" s="38" t="n">
        <v>187</v>
      </c>
      <c r="H8" s="39" t="n">
        <f aca="false">$H$5*G8/SUMPRODUCT($F$6:$F$20,$G$6:$G$20)</f>
        <v>0.696752134292566</v>
      </c>
      <c r="I8" s="37" t="n">
        <f aca="false">H8*Summary!$C$5*Summary!$C$6</f>
        <v>267.761845208633</v>
      </c>
      <c r="J8" s="38" t="n">
        <v>428</v>
      </c>
      <c r="K8" s="40" t="n">
        <f aca="false">IFERROR(J8/I8-1,0)</f>
        <v>0.59843535462087</v>
      </c>
      <c r="L8" s="51" t="s">
        <v>14</v>
      </c>
    </row>
    <row r="9" customFormat="false" ht="15" hidden="false" customHeight="false" outlineLevel="0" collapsed="false">
      <c r="A9" s="30" t="n">
        <v>19</v>
      </c>
      <c r="B9" s="31" t="s">
        <v>89</v>
      </c>
      <c r="C9" s="30" t="s">
        <v>90</v>
      </c>
      <c r="D9" s="30" t="s">
        <v>52</v>
      </c>
      <c r="E9" s="50" t="s">
        <v>91</v>
      </c>
      <c r="F9" s="37" t="n">
        <v>30</v>
      </c>
      <c r="G9" s="38" t="n">
        <v>180</v>
      </c>
      <c r="H9" s="39" t="n">
        <f aca="false">$H$5*G9/SUMPRODUCT($F$6:$F$20,$G$6:$G$20)</f>
        <v>0.670670503597122</v>
      </c>
      <c r="I9" s="37" t="n">
        <f aca="false">H9*Summary!$C$5*Summary!$C$6</f>
        <v>257.738674532374</v>
      </c>
      <c r="J9" s="38" t="n">
        <v>412</v>
      </c>
      <c r="K9" s="40" t="n">
        <f aca="false">IFERROR(J9/I9-1,0)</f>
        <v>0.598518347110726</v>
      </c>
      <c r="L9" s="51" t="s">
        <v>14</v>
      </c>
    </row>
    <row r="10" customFormat="false" ht="15" hidden="false" customHeight="false" outlineLevel="0" collapsed="false">
      <c r="A10" s="30" t="n">
        <v>20</v>
      </c>
      <c r="B10" s="31" t="s">
        <v>89</v>
      </c>
      <c r="C10" s="30" t="s">
        <v>92</v>
      </c>
      <c r="D10" s="30" t="s">
        <v>56</v>
      </c>
      <c r="E10" s="50" t="s">
        <v>93</v>
      </c>
      <c r="F10" s="37" t="n">
        <v>30</v>
      </c>
      <c r="G10" s="38" t="n">
        <v>200</v>
      </c>
      <c r="H10" s="39" t="n">
        <f aca="false">$H$5*G10/SUMPRODUCT($F$6:$F$20,$G$6:$G$20)</f>
        <v>0.745189448441247</v>
      </c>
      <c r="I10" s="37" t="n">
        <f aca="false">H10*Summary!$C$5*Summary!$C$6</f>
        <v>286.376305035971</v>
      </c>
      <c r="J10" s="38" t="n">
        <v>458</v>
      </c>
      <c r="K10" s="40" t="n">
        <f aca="false">IFERROR(J10/I10-1,0)</f>
        <v>0.599294326890877</v>
      </c>
      <c r="L10" s="51" t="s">
        <v>14</v>
      </c>
    </row>
    <row r="11" customFormat="false" ht="19.4" hidden="false" customHeight="false" outlineLevel="0" collapsed="false">
      <c r="A11" s="30" t="n">
        <v>21</v>
      </c>
      <c r="B11" s="31" t="s">
        <v>89</v>
      </c>
      <c r="C11" s="30" t="s">
        <v>94</v>
      </c>
      <c r="D11" s="30" t="s">
        <v>58</v>
      </c>
      <c r="E11" s="50" t="s">
        <v>95</v>
      </c>
      <c r="F11" s="37" t="n">
        <v>30</v>
      </c>
      <c r="G11" s="38" t="n">
        <v>220</v>
      </c>
      <c r="H11" s="39" t="n">
        <f aca="false">$H$5*G11/SUMPRODUCT($F$6:$F$20,$G$6:$G$20)</f>
        <v>0.819708393285372</v>
      </c>
      <c r="I11" s="37" t="n">
        <f aca="false">H11*Summary!$C$5*Summary!$C$6</f>
        <v>315.013935539568</v>
      </c>
      <c r="J11" s="38" t="n">
        <v>504</v>
      </c>
      <c r="K11" s="40" t="n">
        <f aca="false">IFERROR(J11/I11-1,0)</f>
        <v>0.599929219438273</v>
      </c>
      <c r="L11" s="51" t="s">
        <v>14</v>
      </c>
    </row>
    <row r="12" customFormat="false" ht="19.4" hidden="false" customHeight="false" outlineLevel="0" collapsed="false">
      <c r="A12" s="30" t="n">
        <v>22</v>
      </c>
      <c r="B12" s="31" t="s">
        <v>89</v>
      </c>
      <c r="C12" s="30" t="s">
        <v>96</v>
      </c>
      <c r="D12" s="30" t="s">
        <v>64</v>
      </c>
      <c r="E12" s="50" t="s">
        <v>97</v>
      </c>
      <c r="F12" s="37" t="n">
        <v>30</v>
      </c>
      <c r="G12" s="38" t="n">
        <v>290</v>
      </c>
      <c r="H12" s="39" t="n">
        <f aca="false">$H$5*G12/SUMPRODUCT($F$6:$F$20,$G$6:$G$20)</f>
        <v>1.08052470023981</v>
      </c>
      <c r="I12" s="37" t="n">
        <f aca="false">H12*Summary!$C$5*Summary!$C$6</f>
        <v>415.245642302158</v>
      </c>
      <c r="J12" s="38" t="n">
        <v>664</v>
      </c>
      <c r="K12" s="40" t="n">
        <f aca="false">IFERROR(J12/I12-1,0)</f>
        <v>0.599053505579795</v>
      </c>
      <c r="L12" s="51" t="s">
        <v>14</v>
      </c>
    </row>
    <row r="13" customFormat="false" ht="19.4" hidden="false" customHeight="false" outlineLevel="0" collapsed="false">
      <c r="A13" s="30" t="n">
        <v>23</v>
      </c>
      <c r="B13" s="31" t="s">
        <v>89</v>
      </c>
      <c r="C13" s="30" t="s">
        <v>98</v>
      </c>
      <c r="D13" s="30" t="s">
        <v>66</v>
      </c>
      <c r="E13" s="50" t="s">
        <v>99</v>
      </c>
      <c r="F13" s="37" t="n">
        <v>30</v>
      </c>
      <c r="G13" s="38" t="n">
        <v>460</v>
      </c>
      <c r="H13" s="39" t="n">
        <f aca="false">$H$5*G13/SUMPRODUCT($F$6:$F$20,$G$6:$G$20)</f>
        <v>1.71393573141487</v>
      </c>
      <c r="I13" s="37" t="n">
        <f aca="false">H13*Summary!$C$5*Summary!$C$6</f>
        <v>658.665501582734</v>
      </c>
      <c r="J13" s="38" t="n">
        <v>1054</v>
      </c>
      <c r="K13" s="40" t="n">
        <f aca="false">IFERROR(J13/I13-1,0)</f>
        <v>0.600205259676271</v>
      </c>
      <c r="L13" s="51" t="s">
        <v>14</v>
      </c>
    </row>
    <row r="14" customFormat="false" ht="19.4" hidden="false" customHeight="false" outlineLevel="0" collapsed="false">
      <c r="A14" s="30" t="n">
        <v>24</v>
      </c>
      <c r="B14" s="31" t="s">
        <v>89</v>
      </c>
      <c r="C14" s="30" t="s">
        <v>100</v>
      </c>
      <c r="D14" s="30" t="s">
        <v>68</v>
      </c>
      <c r="E14" s="50" t="s">
        <v>101</v>
      </c>
      <c r="F14" s="37" t="n">
        <v>30</v>
      </c>
      <c r="G14" s="38" t="n">
        <v>650</v>
      </c>
      <c r="H14" s="39" t="n">
        <f aca="false">$H$5*G14/SUMPRODUCT($F$6:$F$20,$G$6:$G$20)</f>
        <v>2.42186570743405</v>
      </c>
      <c r="I14" s="37" t="n">
        <f aca="false">H14*Summary!$C$5*Summary!$C$6</f>
        <v>930.722991366906</v>
      </c>
      <c r="J14" s="38" t="n">
        <v>1489</v>
      </c>
      <c r="K14" s="40" t="n">
        <f aca="false">IFERROR(J14/I14-1,0)</f>
        <v>0.599831543661751</v>
      </c>
      <c r="L14" s="51" t="s">
        <v>14</v>
      </c>
    </row>
    <row r="15" customFormat="false" ht="19.4" hidden="false" customHeight="false" outlineLevel="0" collapsed="false">
      <c r="A15" s="30" t="n">
        <v>25</v>
      </c>
      <c r="B15" s="31" t="s">
        <v>89</v>
      </c>
      <c r="C15" s="30" t="s">
        <v>102</v>
      </c>
      <c r="D15" s="30" t="s">
        <v>70</v>
      </c>
      <c r="E15" s="50" t="s">
        <v>103</v>
      </c>
      <c r="F15" s="37" t="n">
        <v>30</v>
      </c>
      <c r="G15" s="38" t="n">
        <v>1000</v>
      </c>
      <c r="H15" s="39" t="n">
        <f aca="false">$H$5*G15/SUMPRODUCT($F$6:$F$20,$G$6:$G$20)</f>
        <v>3.72594724220624</v>
      </c>
      <c r="I15" s="37" t="n">
        <f aca="false">H15*Summary!$C$5*Summary!$C$6</f>
        <v>1431.88152517986</v>
      </c>
      <c r="J15" s="38" t="n">
        <v>2291</v>
      </c>
      <c r="K15" s="40" t="n">
        <f aca="false">IFERROR(J15/I15-1,0)</f>
        <v>0.599992708693013</v>
      </c>
      <c r="L15" s="51" t="s">
        <v>14</v>
      </c>
    </row>
    <row r="16" customFormat="false" ht="19.4" hidden="false" customHeight="false" outlineLevel="0" collapsed="false">
      <c r="A16" s="30" t="n">
        <v>26</v>
      </c>
      <c r="B16" s="31" t="s">
        <v>89</v>
      </c>
      <c r="C16" s="30" t="s">
        <v>104</v>
      </c>
      <c r="D16" s="30" t="s">
        <v>72</v>
      </c>
      <c r="E16" s="50" t="s">
        <v>105</v>
      </c>
      <c r="F16" s="37" t="n">
        <v>30</v>
      </c>
      <c r="G16" s="38" t="n">
        <v>1500</v>
      </c>
      <c r="H16" s="39" t="n">
        <f aca="false">$H$5*G16/SUMPRODUCT($F$6:$F$20,$G$6:$G$20)</f>
        <v>5.58892086330935</v>
      </c>
      <c r="I16" s="37" t="n">
        <f aca="false">H16*Summary!$C$5*Summary!$C$6</f>
        <v>2147.82228776978</v>
      </c>
      <c r="J16" s="38" t="n">
        <v>3437</v>
      </c>
      <c r="K16" s="40" t="n">
        <f aca="false">IFERROR(J16/I16-1,0)</f>
        <v>0.600225502627058</v>
      </c>
      <c r="L16" s="51" t="s">
        <v>14</v>
      </c>
    </row>
    <row r="17" customFormat="false" ht="15" hidden="false" customHeight="false" outlineLevel="0" collapsed="false">
      <c r="A17" s="30" t="n">
        <v>27</v>
      </c>
      <c r="B17" s="31" t="s">
        <v>106</v>
      </c>
      <c r="C17" s="30" t="s">
        <v>107</v>
      </c>
      <c r="D17" s="30" t="s">
        <v>66</v>
      </c>
      <c r="E17" s="50" t="s">
        <v>108</v>
      </c>
      <c r="F17" s="37" t="n">
        <v>30</v>
      </c>
      <c r="G17" s="38" t="n">
        <v>690</v>
      </c>
      <c r="H17" s="39" t="n">
        <f aca="false">$H$5*G17/SUMPRODUCT($F$6:$F$20,$G$6:$G$20)</f>
        <v>2.5709035971223</v>
      </c>
      <c r="I17" s="37" t="n">
        <f aca="false">H17*Summary!$C$5*Summary!$C$6</f>
        <v>987.998252374101</v>
      </c>
      <c r="J17" s="38" t="n">
        <v>1581</v>
      </c>
      <c r="K17" s="40" t="n">
        <f aca="false">IFERROR(J17/I17-1,0)</f>
        <v>0.600205259676271</v>
      </c>
      <c r="L17" s="51" t="s">
        <v>14</v>
      </c>
    </row>
    <row r="18" customFormat="false" ht="15" hidden="false" customHeight="false" outlineLevel="0" collapsed="false">
      <c r="A18" s="30" t="n">
        <v>28</v>
      </c>
      <c r="B18" s="31" t="s">
        <v>106</v>
      </c>
      <c r="C18" s="30" t="s">
        <v>109</v>
      </c>
      <c r="D18" s="30" t="s">
        <v>68</v>
      </c>
      <c r="E18" s="50" t="s">
        <v>110</v>
      </c>
      <c r="F18" s="37" t="n">
        <v>30</v>
      </c>
      <c r="G18" s="38" t="n">
        <v>975</v>
      </c>
      <c r="H18" s="39" t="n">
        <f aca="false">$H$5*G18/SUMPRODUCT($F$6:$F$20,$G$6:$G$20)</f>
        <v>3.63279856115108</v>
      </c>
      <c r="I18" s="37" t="n">
        <f aca="false">H18*Summary!$C$5*Summary!$C$6</f>
        <v>1396.08448705036</v>
      </c>
      <c r="J18" s="38" t="n">
        <v>2234</v>
      </c>
      <c r="K18" s="40" t="n">
        <f aca="false">IFERROR(J18/I18-1,0)</f>
        <v>0.600189688175666</v>
      </c>
      <c r="L18" s="51" t="s">
        <v>14</v>
      </c>
    </row>
    <row r="19" customFormat="false" ht="15" hidden="false" customHeight="false" outlineLevel="0" collapsed="false">
      <c r="A19" s="30" t="n">
        <v>29</v>
      </c>
      <c r="B19" s="31" t="s">
        <v>106</v>
      </c>
      <c r="C19" s="30" t="s">
        <v>111</v>
      </c>
      <c r="D19" s="30" t="s">
        <v>70</v>
      </c>
      <c r="E19" s="50" t="s">
        <v>112</v>
      </c>
      <c r="F19" s="37" t="n">
        <v>30</v>
      </c>
      <c r="G19" s="38" t="n">
        <v>1500</v>
      </c>
      <c r="H19" s="39" t="n">
        <f aca="false">$H$5*G19/SUMPRODUCT($F$6:$F$20,$G$6:$G$20)</f>
        <v>5.58892086330935</v>
      </c>
      <c r="I19" s="37" t="n">
        <f aca="false">H19*Summary!$C$5*Summary!$C$6</f>
        <v>2147.82228776978</v>
      </c>
      <c r="J19" s="38" t="n">
        <v>3437</v>
      </c>
      <c r="K19" s="40" t="n">
        <f aca="false">IFERROR(J19/I19-1,0)</f>
        <v>0.600225502627058</v>
      </c>
      <c r="L19" s="51" t="s">
        <v>14</v>
      </c>
    </row>
    <row r="20" customFormat="false" ht="15" hidden="false" customHeight="false" outlineLevel="0" collapsed="false">
      <c r="A20" s="30" t="n">
        <v>30</v>
      </c>
      <c r="B20" s="31" t="s">
        <v>106</v>
      </c>
      <c r="C20" s="30" t="s">
        <v>113</v>
      </c>
      <c r="D20" s="30" t="s">
        <v>72</v>
      </c>
      <c r="E20" s="50" t="s">
        <v>114</v>
      </c>
      <c r="F20" s="37" t="n">
        <v>30</v>
      </c>
      <c r="G20" s="38" t="n">
        <v>2250</v>
      </c>
      <c r="H20" s="39" t="n">
        <f aca="false">$H$5*G20/SUMPRODUCT($F$6:$F$20,$G$6:$G$20)</f>
        <v>8.38338129496403</v>
      </c>
      <c r="I20" s="37" t="n">
        <f aca="false">H20*Summary!$C$5*Summary!$C$6</f>
        <v>3221.73343165468</v>
      </c>
      <c r="J20" s="38" t="n">
        <v>5155</v>
      </c>
      <c r="K20" s="40" t="n">
        <f aca="false">IFERROR(J20/I20-1,0)</f>
        <v>0.600070306671028</v>
      </c>
      <c r="L20" s="51" t="s">
        <v>14</v>
      </c>
    </row>
    <row r="21" customFormat="false" ht="15" hidden="false" customHeight="false" outlineLevel="0" collapsed="false">
      <c r="A21" s="52"/>
      <c r="B21" s="52"/>
      <c r="C21" s="52"/>
      <c r="D21" s="52"/>
      <c r="E21" s="53" t="s">
        <v>314</v>
      </c>
      <c r="F21" s="54" t="n">
        <f aca="false">SUM(F6:F20)</f>
        <v>450</v>
      </c>
      <c r="G21" s="52"/>
      <c r="H21" s="55" t="n">
        <f aca="false">SUMPRODUCT(F6:F20,H6:H20)</f>
        <v>1165.29</v>
      </c>
      <c r="I21" s="54" t="n">
        <f aca="false">SUMPRODUCT(F6:F20,I6:I20)</f>
        <v>447820.947</v>
      </c>
      <c r="J21" s="54" t="n">
        <f aca="false">SUMPRODUCT(F6:F20,J6:J20)</f>
        <v>716520</v>
      </c>
      <c r="K21" s="52"/>
      <c r="L21" s="52"/>
    </row>
    <row r="23" customFormat="false" ht="15" hidden="false" customHeight="true" outlineLevel="0" collapsed="false">
      <c r="A23" s="46" t="s">
        <v>315</v>
      </c>
      <c r="B23" s="46"/>
      <c r="C23" s="46"/>
      <c r="D23" s="46"/>
      <c r="E23" s="46"/>
      <c r="F23" s="46"/>
      <c r="G23" s="47" t="s">
        <v>313</v>
      </c>
      <c r="H23" s="48" t="n">
        <v>828</v>
      </c>
      <c r="I23" s="49"/>
      <c r="J23" s="49"/>
      <c r="K23" s="49"/>
      <c r="L23" s="49"/>
    </row>
    <row r="24" customFormat="false" ht="15" hidden="false" customHeight="false" outlineLevel="0" collapsed="false">
      <c r="A24" s="30" t="n">
        <v>31</v>
      </c>
      <c r="B24" s="31" t="s">
        <v>116</v>
      </c>
      <c r="C24" s="30" t="s">
        <v>117</v>
      </c>
      <c r="D24" s="30" t="s">
        <v>119</v>
      </c>
      <c r="E24" s="50" t="s">
        <v>118</v>
      </c>
      <c r="F24" s="37" t="n">
        <v>50</v>
      </c>
      <c r="G24" s="38" t="n">
        <v>620</v>
      </c>
      <c r="H24" s="39" t="n">
        <f aca="false">$H$23*G24/SUMPRODUCT($F$24:$F$42,$G$24:$G$42)</f>
        <v>0.360341136419471</v>
      </c>
      <c r="I24" s="37" t="n">
        <f aca="false">H24*Summary!$C$5*Summary!$C$6</f>
        <v>138.479098726003</v>
      </c>
      <c r="J24" s="38" t="n">
        <v>620</v>
      </c>
      <c r="K24" s="40" t="n">
        <f aca="false">IFERROR(J24/I24-1,0)</f>
        <v>3.47720995950979</v>
      </c>
      <c r="L24" s="51" t="s">
        <v>14</v>
      </c>
    </row>
    <row r="25" customFormat="false" ht="15" hidden="false" customHeight="false" outlineLevel="0" collapsed="false">
      <c r="A25" s="30" t="n">
        <v>32</v>
      </c>
      <c r="B25" s="31" t="s">
        <v>116</v>
      </c>
      <c r="C25" s="30" t="s">
        <v>121</v>
      </c>
      <c r="D25" s="30" t="s">
        <v>123</v>
      </c>
      <c r="E25" s="50" t="s">
        <v>122</v>
      </c>
      <c r="F25" s="37" t="n">
        <v>50</v>
      </c>
      <c r="G25" s="38" t="n">
        <v>720</v>
      </c>
      <c r="H25" s="39" t="n">
        <f aca="false">$H$23*G25/SUMPRODUCT($F$24:$F$42,$G$24:$G$42)</f>
        <v>0.418460674551644</v>
      </c>
      <c r="I25" s="37" t="n">
        <f aca="false">H25*Summary!$C$5*Summary!$C$6</f>
        <v>160.814437230197</v>
      </c>
      <c r="J25" s="38" t="n">
        <v>720</v>
      </c>
      <c r="K25" s="40" t="n">
        <f aca="false">IFERROR(J25/I25-1,0)</f>
        <v>3.47720995950979</v>
      </c>
      <c r="L25" s="51" t="s">
        <v>14</v>
      </c>
    </row>
    <row r="26" customFormat="false" ht="15" hidden="false" customHeight="false" outlineLevel="0" collapsed="false">
      <c r="A26" s="30" t="n">
        <v>33</v>
      </c>
      <c r="B26" s="31" t="s">
        <v>116</v>
      </c>
      <c r="C26" s="30" t="s">
        <v>124</v>
      </c>
      <c r="D26" s="30" t="s">
        <v>123</v>
      </c>
      <c r="E26" s="50" t="s">
        <v>125</v>
      </c>
      <c r="F26" s="37" t="n">
        <v>50</v>
      </c>
      <c r="G26" s="38" t="n">
        <v>720</v>
      </c>
      <c r="H26" s="39" t="n">
        <f aca="false">$H$23*G26/SUMPRODUCT($F$24:$F$42,$G$24:$G$42)</f>
        <v>0.418460674551644</v>
      </c>
      <c r="I26" s="37" t="n">
        <f aca="false">H26*Summary!$C$5*Summary!$C$6</f>
        <v>160.814437230197</v>
      </c>
      <c r="J26" s="38" t="n">
        <v>720</v>
      </c>
      <c r="K26" s="40" t="n">
        <f aca="false">IFERROR(J26/I26-1,0)</f>
        <v>3.47720995950979</v>
      </c>
      <c r="L26" s="51" t="s">
        <v>14</v>
      </c>
    </row>
    <row r="27" customFormat="false" ht="15" hidden="false" customHeight="false" outlineLevel="0" collapsed="false">
      <c r="A27" s="30" t="n">
        <v>34</v>
      </c>
      <c r="B27" s="31" t="s">
        <v>116</v>
      </c>
      <c r="C27" s="30" t="s">
        <v>126</v>
      </c>
      <c r="D27" s="30" t="s">
        <v>123</v>
      </c>
      <c r="E27" s="50" t="s">
        <v>127</v>
      </c>
      <c r="F27" s="37" t="n">
        <v>50</v>
      </c>
      <c r="G27" s="38" t="n">
        <v>720</v>
      </c>
      <c r="H27" s="39" t="n">
        <f aca="false">$H$23*G27/SUMPRODUCT($F$24:$F$42,$G$24:$G$42)</f>
        <v>0.418460674551644</v>
      </c>
      <c r="I27" s="37" t="n">
        <f aca="false">H27*Summary!$C$5*Summary!$C$6</f>
        <v>160.814437230197</v>
      </c>
      <c r="J27" s="38" t="n">
        <v>720</v>
      </c>
      <c r="K27" s="40" t="n">
        <f aca="false">IFERROR(J27/I27-1,0)</f>
        <v>3.47720995950979</v>
      </c>
      <c r="L27" s="51" t="s">
        <v>14</v>
      </c>
    </row>
    <row r="28" customFormat="false" ht="15" hidden="false" customHeight="false" outlineLevel="0" collapsed="false">
      <c r="A28" s="30" t="n">
        <v>35</v>
      </c>
      <c r="B28" s="31" t="s">
        <v>116</v>
      </c>
      <c r="C28" s="30" t="s">
        <v>128</v>
      </c>
      <c r="D28" s="30" t="s">
        <v>130</v>
      </c>
      <c r="E28" s="50" t="s">
        <v>129</v>
      </c>
      <c r="F28" s="37" t="n">
        <v>50</v>
      </c>
      <c r="G28" s="38" t="n">
        <v>950</v>
      </c>
      <c r="H28" s="39" t="n">
        <f aca="false">$H$23*G28/SUMPRODUCT($F$24:$F$42,$G$24:$G$42)</f>
        <v>0.552135612255642</v>
      </c>
      <c r="I28" s="37" t="n">
        <f aca="false">H28*Summary!$C$5*Summary!$C$6</f>
        <v>212.185715789843</v>
      </c>
      <c r="J28" s="38" t="n">
        <v>950</v>
      </c>
      <c r="K28" s="40" t="n">
        <f aca="false">IFERROR(J28/I28-1,0)</f>
        <v>3.47720995950979</v>
      </c>
      <c r="L28" s="51" t="s">
        <v>14</v>
      </c>
    </row>
    <row r="29" customFormat="false" ht="15" hidden="false" customHeight="false" outlineLevel="0" collapsed="false">
      <c r="A29" s="30" t="n">
        <v>36</v>
      </c>
      <c r="B29" s="31" t="s">
        <v>116</v>
      </c>
      <c r="C29" s="30" t="s">
        <v>131</v>
      </c>
      <c r="D29" s="30" t="s">
        <v>130</v>
      </c>
      <c r="E29" s="50" t="s">
        <v>132</v>
      </c>
      <c r="F29" s="37" t="n">
        <v>50</v>
      </c>
      <c r="G29" s="38" t="n">
        <v>950</v>
      </c>
      <c r="H29" s="39" t="n">
        <f aca="false">$H$23*G29/SUMPRODUCT($F$24:$F$42,$G$24:$G$42)</f>
        <v>0.552135612255642</v>
      </c>
      <c r="I29" s="37" t="n">
        <f aca="false">H29*Summary!$C$5*Summary!$C$6</f>
        <v>212.185715789843</v>
      </c>
      <c r="J29" s="38" t="n">
        <v>950</v>
      </c>
      <c r="K29" s="40" t="n">
        <f aca="false">IFERROR(J29/I29-1,0)</f>
        <v>3.47720995950979</v>
      </c>
      <c r="L29" s="51" t="s">
        <v>14</v>
      </c>
    </row>
    <row r="30" customFormat="false" ht="15" hidden="false" customHeight="false" outlineLevel="0" collapsed="false">
      <c r="A30" s="30" t="n">
        <v>37</v>
      </c>
      <c r="B30" s="31" t="s">
        <v>116</v>
      </c>
      <c r="C30" s="30" t="s">
        <v>133</v>
      </c>
      <c r="D30" s="30" t="s">
        <v>135</v>
      </c>
      <c r="E30" s="50" t="s">
        <v>134</v>
      </c>
      <c r="F30" s="37" t="n">
        <v>50</v>
      </c>
      <c r="G30" s="38" t="n">
        <v>1250</v>
      </c>
      <c r="H30" s="39" t="n">
        <f aca="false">$H$23*G30/SUMPRODUCT($F$24:$F$42,$G$24:$G$42)</f>
        <v>0.72649422665216</v>
      </c>
      <c r="I30" s="37" t="n">
        <f aca="false">H30*Summary!$C$5*Summary!$C$6</f>
        <v>279.191731302425</v>
      </c>
      <c r="J30" s="38" t="n">
        <v>1250</v>
      </c>
      <c r="K30" s="40" t="n">
        <f aca="false">IFERROR(J30/I30-1,0)</f>
        <v>3.47720995950979</v>
      </c>
      <c r="L30" s="51" t="s">
        <v>14</v>
      </c>
    </row>
    <row r="31" customFormat="false" ht="15" hidden="false" customHeight="false" outlineLevel="0" collapsed="false">
      <c r="A31" s="30" t="n">
        <v>38</v>
      </c>
      <c r="B31" s="31" t="s">
        <v>116</v>
      </c>
      <c r="C31" s="30" t="s">
        <v>136</v>
      </c>
      <c r="D31" s="30" t="s">
        <v>138</v>
      </c>
      <c r="E31" s="50" t="s">
        <v>137</v>
      </c>
      <c r="F31" s="37" t="n">
        <v>50</v>
      </c>
      <c r="G31" s="38" t="n">
        <v>1600</v>
      </c>
      <c r="H31" s="39" t="n">
        <f aca="false">$H$23*G31/SUMPRODUCT($F$24:$F$42,$G$24:$G$42)</f>
        <v>0.929912610114765</v>
      </c>
      <c r="I31" s="37" t="n">
        <f aca="false">H31*Summary!$C$5*Summary!$C$6</f>
        <v>357.365416067104</v>
      </c>
      <c r="J31" s="38" t="n">
        <v>1600</v>
      </c>
      <c r="K31" s="40" t="n">
        <f aca="false">IFERROR(J31/I31-1,0)</f>
        <v>3.47720995950979</v>
      </c>
      <c r="L31" s="51" t="s">
        <v>14</v>
      </c>
    </row>
    <row r="32" customFormat="false" ht="15" hidden="false" customHeight="false" outlineLevel="0" collapsed="false">
      <c r="A32" s="33" t="n">
        <v>39</v>
      </c>
      <c r="B32" s="34" t="s">
        <v>116</v>
      </c>
      <c r="C32" s="33" t="s">
        <v>139</v>
      </c>
      <c r="D32" s="33" t="s">
        <v>141</v>
      </c>
      <c r="E32" s="56" t="s">
        <v>140</v>
      </c>
      <c r="F32" s="57" t="n">
        <v>50</v>
      </c>
      <c r="G32" s="38" t="n">
        <v>2600</v>
      </c>
      <c r="H32" s="58" t="n">
        <f aca="false">$H$23*G32/SUMPRODUCT($F$24:$F$42,$G$24:$G$42)</f>
        <v>1.51110799143649</v>
      </c>
      <c r="I32" s="57" t="n">
        <f aca="false">H32*Summary!$C$5*Summary!$C$6</f>
        <v>580.718801109044</v>
      </c>
      <c r="J32" s="38" t="n">
        <v>2600</v>
      </c>
      <c r="K32" s="59" t="n">
        <f aca="false">IFERROR(J32/I32-1,0)</f>
        <v>3.47720995950979</v>
      </c>
      <c r="L32" s="60" t="s">
        <v>142</v>
      </c>
    </row>
    <row r="33" customFormat="false" ht="15" hidden="false" customHeight="false" outlineLevel="0" collapsed="false">
      <c r="A33" s="33" t="n">
        <v>40</v>
      </c>
      <c r="B33" s="34" t="s">
        <v>116</v>
      </c>
      <c r="C33" s="33" t="s">
        <v>143</v>
      </c>
      <c r="D33" s="33" t="s">
        <v>145</v>
      </c>
      <c r="E33" s="56" t="s">
        <v>144</v>
      </c>
      <c r="F33" s="57" t="n">
        <v>25</v>
      </c>
      <c r="G33" s="38" t="n">
        <v>3900</v>
      </c>
      <c r="H33" s="58" t="n">
        <f aca="false">$H$23*G33/SUMPRODUCT($F$24:$F$42,$G$24:$G$42)</f>
        <v>2.26666198715474</v>
      </c>
      <c r="I33" s="57" t="n">
        <f aca="false">H33*Summary!$C$5*Summary!$C$6</f>
        <v>871.078201663567</v>
      </c>
      <c r="J33" s="38" t="n">
        <v>3900</v>
      </c>
      <c r="K33" s="59" t="n">
        <f aca="false">IFERROR(J33/I33-1,0)</f>
        <v>3.47720995950979</v>
      </c>
      <c r="L33" s="60" t="s">
        <v>142</v>
      </c>
    </row>
    <row r="34" customFormat="false" ht="15" hidden="false" customHeight="false" outlineLevel="0" collapsed="false">
      <c r="A34" s="33" t="n">
        <v>41</v>
      </c>
      <c r="B34" s="34" t="s">
        <v>146</v>
      </c>
      <c r="C34" s="33" t="s">
        <v>147</v>
      </c>
      <c r="D34" s="33" t="s">
        <v>119</v>
      </c>
      <c r="E34" s="56" t="s">
        <v>148</v>
      </c>
      <c r="F34" s="57" t="n">
        <v>50</v>
      </c>
      <c r="G34" s="38" t="n">
        <v>1209</v>
      </c>
      <c r="H34" s="58" t="n">
        <f aca="false">$H$23*G34/SUMPRODUCT($F$24:$F$42,$G$24:$G$42)</f>
        <v>0.702665216017969</v>
      </c>
      <c r="I34" s="57" t="n">
        <f aca="false">H34*Summary!$C$5*Summary!$C$6</f>
        <v>270.034242515706</v>
      </c>
      <c r="J34" s="38" t="n">
        <v>1209</v>
      </c>
      <c r="K34" s="59" t="n">
        <f aca="false">IFERROR(J34/I34-1,0)</f>
        <v>3.47720995950979</v>
      </c>
      <c r="L34" s="60" t="s">
        <v>142</v>
      </c>
    </row>
    <row r="35" customFormat="false" ht="19.4" hidden="false" customHeight="false" outlineLevel="0" collapsed="false">
      <c r="A35" s="33" t="n">
        <v>42</v>
      </c>
      <c r="B35" s="34" t="s">
        <v>146</v>
      </c>
      <c r="C35" s="33" t="s">
        <v>149</v>
      </c>
      <c r="D35" s="33" t="s">
        <v>123</v>
      </c>
      <c r="E35" s="56" t="s">
        <v>150</v>
      </c>
      <c r="F35" s="57" t="n">
        <v>50</v>
      </c>
      <c r="G35" s="38" t="n">
        <v>1404</v>
      </c>
      <c r="H35" s="58" t="n">
        <f aca="false">$H$23*G35/SUMPRODUCT($F$24:$F$42,$G$24:$G$42)</f>
        <v>0.815998315375706</v>
      </c>
      <c r="I35" s="57" t="n">
        <f aca="false">H35*Summary!$C$5*Summary!$C$6</f>
        <v>313.588152598884</v>
      </c>
      <c r="J35" s="38" t="n">
        <v>1404</v>
      </c>
      <c r="K35" s="59" t="n">
        <f aca="false">IFERROR(J35/I35-1,0)</f>
        <v>3.47720995950979</v>
      </c>
      <c r="L35" s="60" t="s">
        <v>142</v>
      </c>
    </row>
    <row r="36" customFormat="false" ht="19.4" hidden="false" customHeight="false" outlineLevel="0" collapsed="false">
      <c r="A36" s="33" t="n">
        <v>43</v>
      </c>
      <c r="B36" s="34" t="s">
        <v>146</v>
      </c>
      <c r="C36" s="33" t="s">
        <v>151</v>
      </c>
      <c r="D36" s="33" t="s">
        <v>130</v>
      </c>
      <c r="E36" s="56" t="s">
        <v>152</v>
      </c>
      <c r="F36" s="57" t="n">
        <v>50</v>
      </c>
      <c r="G36" s="38" t="n">
        <v>1852</v>
      </c>
      <c r="H36" s="58" t="n">
        <f aca="false">$H$23*G36/SUMPRODUCT($F$24:$F$42,$G$24:$G$42)</f>
        <v>1.07637384620784</v>
      </c>
      <c r="I36" s="57" t="n">
        <f aca="false">H36*Summary!$C$5*Summary!$C$6</f>
        <v>413.650469097673</v>
      </c>
      <c r="J36" s="38" t="n">
        <v>1852</v>
      </c>
      <c r="K36" s="59" t="n">
        <f aca="false">IFERROR(J36/I36-1,0)</f>
        <v>3.47720995950979</v>
      </c>
      <c r="L36" s="60" t="s">
        <v>142</v>
      </c>
    </row>
    <row r="37" customFormat="false" ht="19.4" hidden="false" customHeight="false" outlineLevel="0" collapsed="false">
      <c r="A37" s="33" t="n">
        <v>44</v>
      </c>
      <c r="B37" s="34" t="s">
        <v>153</v>
      </c>
      <c r="C37" s="33" t="s">
        <v>154</v>
      </c>
      <c r="D37" s="33" t="s">
        <v>119</v>
      </c>
      <c r="E37" s="56" t="s">
        <v>155</v>
      </c>
      <c r="F37" s="57" t="n">
        <v>50</v>
      </c>
      <c r="G37" s="38" t="n">
        <v>713</v>
      </c>
      <c r="H37" s="58" t="n">
        <f aca="false">$H$23*G37/SUMPRODUCT($F$24:$F$42,$G$24:$G$42)</f>
        <v>0.414392306882392</v>
      </c>
      <c r="I37" s="57" t="n">
        <f aca="false">H37*Summary!$C$5*Summary!$C$6</f>
        <v>159.250963534903</v>
      </c>
      <c r="J37" s="38" t="n">
        <v>713</v>
      </c>
      <c r="K37" s="59" t="n">
        <f aca="false">IFERROR(J37/I37-1,0)</f>
        <v>3.47720995950979</v>
      </c>
      <c r="L37" s="60" t="s">
        <v>142</v>
      </c>
    </row>
    <row r="38" customFormat="false" ht="19.4" hidden="false" customHeight="false" outlineLevel="0" collapsed="false">
      <c r="A38" s="30" t="n">
        <v>45</v>
      </c>
      <c r="B38" s="31" t="s">
        <v>153</v>
      </c>
      <c r="C38" s="30" t="s">
        <v>156</v>
      </c>
      <c r="D38" s="30" t="s">
        <v>123</v>
      </c>
      <c r="E38" s="50" t="s">
        <v>157</v>
      </c>
      <c r="F38" s="37" t="n">
        <v>50</v>
      </c>
      <c r="G38" s="38" t="n">
        <v>828</v>
      </c>
      <c r="H38" s="39" t="n">
        <f aca="false">$H$23*G38/SUMPRODUCT($F$24:$F$42,$G$24:$G$42)</f>
        <v>0.481229775734391</v>
      </c>
      <c r="I38" s="37" t="n">
        <f aca="false">H38*Summary!$C$5*Summary!$C$6</f>
        <v>184.936602814726</v>
      </c>
      <c r="J38" s="38" t="n">
        <v>828</v>
      </c>
      <c r="K38" s="40" t="n">
        <f aca="false">IFERROR(J38/I38-1,0)</f>
        <v>3.47720995950979</v>
      </c>
      <c r="L38" s="51" t="s">
        <v>14</v>
      </c>
    </row>
    <row r="39" customFormat="false" ht="19.4" hidden="false" customHeight="false" outlineLevel="0" collapsed="false">
      <c r="A39" s="30" t="n">
        <v>46</v>
      </c>
      <c r="B39" s="31" t="s">
        <v>153</v>
      </c>
      <c r="C39" s="30" t="s">
        <v>158</v>
      </c>
      <c r="D39" s="30" t="s">
        <v>130</v>
      </c>
      <c r="E39" s="50" t="s">
        <v>159</v>
      </c>
      <c r="F39" s="37" t="n">
        <v>50</v>
      </c>
      <c r="G39" s="38" t="n">
        <v>1092</v>
      </c>
      <c r="H39" s="39" t="n">
        <f aca="false">$H$23*G39/SUMPRODUCT($F$24:$F$42,$G$24:$G$42)</f>
        <v>0.634665356403327</v>
      </c>
      <c r="I39" s="37" t="n">
        <f aca="false">H39*Summary!$C$5*Summary!$C$6</f>
        <v>243.901896465799</v>
      </c>
      <c r="J39" s="38" t="n">
        <v>1092</v>
      </c>
      <c r="K39" s="40" t="n">
        <f aca="false">IFERROR(J39/I39-1,0)</f>
        <v>3.47720995950979</v>
      </c>
      <c r="L39" s="51" t="s">
        <v>14</v>
      </c>
    </row>
    <row r="40" customFormat="false" ht="19.4" hidden="false" customHeight="false" outlineLevel="0" collapsed="false">
      <c r="A40" s="30" t="n">
        <v>47</v>
      </c>
      <c r="B40" s="31" t="s">
        <v>153</v>
      </c>
      <c r="C40" s="30" t="s">
        <v>160</v>
      </c>
      <c r="D40" s="30" t="s">
        <v>138</v>
      </c>
      <c r="E40" s="50" t="s">
        <v>161</v>
      </c>
      <c r="F40" s="37" t="n">
        <v>50</v>
      </c>
      <c r="G40" s="38" t="n">
        <v>1840</v>
      </c>
      <c r="H40" s="39" t="n">
        <f aca="false">$H$23*G40/SUMPRODUCT($F$24:$F$42,$G$24:$G$42)</f>
        <v>1.06939950163198</v>
      </c>
      <c r="I40" s="37" t="n">
        <f aca="false">H40*Summary!$C$5*Summary!$C$6</f>
        <v>410.97022847717</v>
      </c>
      <c r="J40" s="38" t="n">
        <v>1840</v>
      </c>
      <c r="K40" s="40" t="n">
        <f aca="false">IFERROR(J40/I40-1,0)</f>
        <v>3.47720995950979</v>
      </c>
      <c r="L40" s="51" t="s">
        <v>14</v>
      </c>
    </row>
    <row r="41" customFormat="false" ht="19.4" hidden="false" customHeight="false" outlineLevel="0" collapsed="false">
      <c r="A41" s="30" t="n">
        <v>48</v>
      </c>
      <c r="B41" s="31" t="s">
        <v>153</v>
      </c>
      <c r="C41" s="30" t="s">
        <v>162</v>
      </c>
      <c r="D41" s="30" t="s">
        <v>141</v>
      </c>
      <c r="E41" s="50" t="s">
        <v>163</v>
      </c>
      <c r="F41" s="37" t="n">
        <v>50</v>
      </c>
      <c r="G41" s="38" t="n">
        <v>2990</v>
      </c>
      <c r="H41" s="39" t="n">
        <f aca="false">$H$23*G41/SUMPRODUCT($F$24:$F$42,$G$24:$G$42)</f>
        <v>1.73777419015197</v>
      </c>
      <c r="I41" s="37" t="n">
        <f aca="false">H41*Summary!$C$5*Summary!$C$6</f>
        <v>667.826621275401</v>
      </c>
      <c r="J41" s="38" t="n">
        <v>2990</v>
      </c>
      <c r="K41" s="40" t="n">
        <f aca="false">IFERROR(J41/I41-1,0)</f>
        <v>3.47720995950979</v>
      </c>
      <c r="L41" s="51" t="s">
        <v>14</v>
      </c>
    </row>
    <row r="42" customFormat="false" ht="19.4" hidden="false" customHeight="false" outlineLevel="0" collapsed="false">
      <c r="A42" s="30" t="n">
        <v>49</v>
      </c>
      <c r="B42" s="31" t="s">
        <v>153</v>
      </c>
      <c r="C42" s="30" t="s">
        <v>164</v>
      </c>
      <c r="D42" s="30" t="s">
        <v>145</v>
      </c>
      <c r="E42" s="50" t="s">
        <v>165</v>
      </c>
      <c r="F42" s="37" t="n">
        <v>50</v>
      </c>
      <c r="G42" s="38" t="n">
        <v>4485</v>
      </c>
      <c r="H42" s="39" t="n">
        <f aca="false">$H$23*G42/SUMPRODUCT($F$24:$F$42,$G$24:$G$42)</f>
        <v>2.60666128522795</v>
      </c>
      <c r="I42" s="37" t="n">
        <f aca="false">H42*Summary!$C$5*Summary!$C$6</f>
        <v>1001.7399319131</v>
      </c>
      <c r="J42" s="38" t="n">
        <v>4485</v>
      </c>
      <c r="K42" s="40" t="n">
        <f aca="false">IFERROR(J42/I42-1,0)</f>
        <v>3.47720995950979</v>
      </c>
      <c r="L42" s="51" t="s">
        <v>14</v>
      </c>
    </row>
    <row r="43" customFormat="false" ht="15" hidden="false" customHeight="false" outlineLevel="0" collapsed="false">
      <c r="A43" s="52"/>
      <c r="B43" s="52"/>
      <c r="C43" s="52"/>
      <c r="D43" s="52"/>
      <c r="E43" s="53" t="s">
        <v>314</v>
      </c>
      <c r="F43" s="54" t="n">
        <f aca="false">SUM(F24:F42)</f>
        <v>925</v>
      </c>
      <c r="G43" s="52"/>
      <c r="H43" s="55" t="n">
        <f aca="false">SUMPRODUCT(F24:F42,H24:H42)</f>
        <v>828</v>
      </c>
      <c r="I43" s="54" t="n">
        <f aca="false">SUMPRODUCT(F24:F42,I24:I42)</f>
        <v>318200.4</v>
      </c>
      <c r="J43" s="54" t="n">
        <f aca="false">SUMPRODUCT(F24:F42,J24:J42)</f>
        <v>1424650</v>
      </c>
      <c r="K43" s="52"/>
      <c r="L43" s="52"/>
    </row>
    <row r="45" customFormat="false" ht="15" hidden="false" customHeight="true" outlineLevel="0" collapsed="false">
      <c r="A45" s="46" t="s">
        <v>316</v>
      </c>
      <c r="B45" s="46"/>
      <c r="C45" s="46"/>
      <c r="D45" s="46"/>
      <c r="E45" s="46"/>
      <c r="F45" s="46"/>
      <c r="G45" s="47" t="s">
        <v>313</v>
      </c>
      <c r="H45" s="48" t="n">
        <v>1032</v>
      </c>
      <c r="I45" s="49"/>
      <c r="J45" s="49"/>
      <c r="K45" s="49"/>
      <c r="L45" s="49"/>
    </row>
    <row r="46" customFormat="false" ht="15" hidden="false" customHeight="false" outlineLevel="0" collapsed="false">
      <c r="A46" s="30" t="n">
        <v>50</v>
      </c>
      <c r="B46" s="31" t="s">
        <v>116</v>
      </c>
      <c r="C46" s="30" t="s">
        <v>166</v>
      </c>
      <c r="D46" s="30" t="s">
        <v>135</v>
      </c>
      <c r="E46" s="50" t="s">
        <v>134</v>
      </c>
      <c r="F46" s="37" t="n">
        <v>50</v>
      </c>
      <c r="G46" s="38" t="n">
        <v>1250</v>
      </c>
      <c r="H46" s="39" t="n">
        <f aca="false">$H$45*G46/SUMPRODUCT($F$46:$F$64,$G$46:$G$64)</f>
        <v>0.820336719607002</v>
      </c>
      <c r="I46" s="37" t="n">
        <f aca="false">H46*Summary!$C$5*Summary!$C$6</f>
        <v>315.255401344971</v>
      </c>
      <c r="J46" s="38" t="n">
        <v>1250</v>
      </c>
      <c r="K46" s="40" t="n">
        <f aca="false">IFERROR(J46/I46-1,0)</f>
        <v>2.96503912277835</v>
      </c>
      <c r="L46" s="51" t="s">
        <v>14</v>
      </c>
    </row>
    <row r="47" customFormat="false" ht="15" hidden="false" customHeight="false" outlineLevel="0" collapsed="false">
      <c r="A47" s="30" t="n">
        <v>51</v>
      </c>
      <c r="B47" s="31" t="s">
        <v>116</v>
      </c>
      <c r="C47" s="30" t="s">
        <v>168</v>
      </c>
      <c r="D47" s="30" t="s">
        <v>138</v>
      </c>
      <c r="E47" s="50" t="s">
        <v>137</v>
      </c>
      <c r="F47" s="37" t="n">
        <v>100</v>
      </c>
      <c r="G47" s="38" t="n">
        <v>1600</v>
      </c>
      <c r="H47" s="39" t="n">
        <f aca="false">$H$45*G47/SUMPRODUCT($F$46:$F$64,$G$46:$G$64)</f>
        <v>1.05003100109696</v>
      </c>
      <c r="I47" s="37" t="n">
        <f aca="false">H47*Summary!$C$5*Summary!$C$6</f>
        <v>403.526913721562</v>
      </c>
      <c r="J47" s="38" t="n">
        <v>1600</v>
      </c>
      <c r="K47" s="40" t="n">
        <f aca="false">IFERROR(J47/I47-1,0)</f>
        <v>2.96503912277835</v>
      </c>
      <c r="L47" s="51" t="s">
        <v>14</v>
      </c>
    </row>
    <row r="48" customFormat="false" ht="15" hidden="false" customHeight="false" outlineLevel="0" collapsed="false">
      <c r="A48" s="30" t="n">
        <v>52</v>
      </c>
      <c r="B48" s="31" t="s">
        <v>116</v>
      </c>
      <c r="C48" s="30" t="s">
        <v>169</v>
      </c>
      <c r="D48" s="30" t="s">
        <v>141</v>
      </c>
      <c r="E48" s="50" t="s">
        <v>140</v>
      </c>
      <c r="F48" s="37" t="n">
        <v>50</v>
      </c>
      <c r="G48" s="38" t="n">
        <v>2600</v>
      </c>
      <c r="H48" s="39" t="n">
        <f aca="false">$H$45*G48/SUMPRODUCT($F$46:$F$64,$G$46:$G$64)</f>
        <v>1.70630037678256</v>
      </c>
      <c r="I48" s="37" t="n">
        <f aca="false">H48*Summary!$C$5*Summary!$C$6</f>
        <v>655.731234797539</v>
      </c>
      <c r="J48" s="38" t="n">
        <v>2600</v>
      </c>
      <c r="K48" s="40" t="n">
        <f aca="false">IFERROR(J48/I48-1,0)</f>
        <v>2.96503912277835</v>
      </c>
      <c r="L48" s="51" t="s">
        <v>14</v>
      </c>
    </row>
    <row r="49" customFormat="false" ht="15" hidden="false" customHeight="false" outlineLevel="0" collapsed="false">
      <c r="A49" s="30" t="n">
        <v>53</v>
      </c>
      <c r="B49" s="31" t="s">
        <v>116</v>
      </c>
      <c r="C49" s="30" t="s">
        <v>170</v>
      </c>
      <c r="D49" s="30" t="s">
        <v>145</v>
      </c>
      <c r="E49" s="50" t="s">
        <v>144</v>
      </c>
      <c r="F49" s="37" t="n">
        <v>25</v>
      </c>
      <c r="G49" s="38" t="n">
        <v>3900</v>
      </c>
      <c r="H49" s="39" t="n">
        <f aca="false">$H$45*G49/SUMPRODUCT($F$46:$F$64,$G$46:$G$64)</f>
        <v>2.55945056517384</v>
      </c>
      <c r="I49" s="37" t="n">
        <f aca="false">H49*Summary!$C$5*Summary!$C$6</f>
        <v>983.596852196309</v>
      </c>
      <c r="J49" s="38" t="n">
        <v>3900</v>
      </c>
      <c r="K49" s="40" t="n">
        <f aca="false">IFERROR(J49/I49-1,0)</f>
        <v>2.96503912277835</v>
      </c>
      <c r="L49" s="51" t="s">
        <v>14</v>
      </c>
    </row>
    <row r="50" customFormat="false" ht="15" hidden="false" customHeight="false" outlineLevel="0" collapsed="false">
      <c r="A50" s="30" t="n">
        <v>54</v>
      </c>
      <c r="B50" s="31" t="s">
        <v>146</v>
      </c>
      <c r="C50" s="30" t="s">
        <v>171</v>
      </c>
      <c r="D50" s="30" t="s">
        <v>119</v>
      </c>
      <c r="E50" s="50" t="s">
        <v>148</v>
      </c>
      <c r="F50" s="37" t="n">
        <v>50</v>
      </c>
      <c r="G50" s="38" t="n">
        <v>1209</v>
      </c>
      <c r="H50" s="39" t="n">
        <f aca="false">$H$45*G50/SUMPRODUCT($F$46:$F$64,$G$46:$G$64)</f>
        <v>0.793429675203892</v>
      </c>
      <c r="I50" s="37" t="n">
        <f aca="false">H50*Summary!$C$5*Summary!$C$6</f>
        <v>304.915024180856</v>
      </c>
      <c r="J50" s="38" t="n">
        <v>1209</v>
      </c>
      <c r="K50" s="40" t="n">
        <f aca="false">IFERROR(J50/I50-1,0)</f>
        <v>2.96503912277835</v>
      </c>
      <c r="L50" s="51" t="s">
        <v>14</v>
      </c>
    </row>
    <row r="51" customFormat="false" ht="19.4" hidden="false" customHeight="false" outlineLevel="0" collapsed="false">
      <c r="A51" s="30" t="n">
        <v>55</v>
      </c>
      <c r="B51" s="31" t="s">
        <v>146</v>
      </c>
      <c r="C51" s="30" t="s">
        <v>172</v>
      </c>
      <c r="D51" s="30" t="s">
        <v>123</v>
      </c>
      <c r="E51" s="50" t="s">
        <v>150</v>
      </c>
      <c r="F51" s="37" t="n">
        <v>50</v>
      </c>
      <c r="G51" s="38" t="n">
        <v>1404</v>
      </c>
      <c r="H51" s="39" t="n">
        <f aca="false">$H$45*G51/SUMPRODUCT($F$46:$F$64,$G$46:$G$64)</f>
        <v>0.921402203462584</v>
      </c>
      <c r="I51" s="37" t="n">
        <f aca="false">H51*Summary!$C$5*Summary!$C$6</f>
        <v>354.094866790671</v>
      </c>
      <c r="J51" s="38" t="n">
        <v>1404</v>
      </c>
      <c r="K51" s="40" t="n">
        <f aca="false">IFERROR(J51/I51-1,0)</f>
        <v>2.96503912277835</v>
      </c>
      <c r="L51" s="51" t="s">
        <v>14</v>
      </c>
    </row>
    <row r="52" customFormat="false" ht="19.4" hidden="false" customHeight="false" outlineLevel="0" collapsed="false">
      <c r="A52" s="30" t="n">
        <v>56</v>
      </c>
      <c r="B52" s="31" t="s">
        <v>146</v>
      </c>
      <c r="C52" s="30" t="s">
        <v>173</v>
      </c>
      <c r="D52" s="30" t="s">
        <v>130</v>
      </c>
      <c r="E52" s="50" t="s">
        <v>152</v>
      </c>
      <c r="F52" s="37" t="n">
        <v>50</v>
      </c>
      <c r="G52" s="38" t="n">
        <v>1852</v>
      </c>
      <c r="H52" s="39" t="n">
        <f aca="false">$H$45*G52/SUMPRODUCT($F$46:$F$64,$G$46:$G$64)</f>
        <v>1.21541088376973</v>
      </c>
      <c r="I52" s="37" t="n">
        <f aca="false">H52*Summary!$C$5*Summary!$C$6</f>
        <v>467.082402632709</v>
      </c>
      <c r="J52" s="38" t="n">
        <v>1852</v>
      </c>
      <c r="K52" s="40" t="n">
        <f aca="false">IFERROR(J52/I52-1,0)</f>
        <v>2.96503912277835</v>
      </c>
      <c r="L52" s="51" t="s">
        <v>14</v>
      </c>
    </row>
    <row r="53" customFormat="false" ht="19.4" hidden="false" customHeight="false" outlineLevel="0" collapsed="false">
      <c r="A53" s="30" t="n">
        <v>57</v>
      </c>
      <c r="B53" s="31" t="s">
        <v>146</v>
      </c>
      <c r="C53" s="30" t="s">
        <v>174</v>
      </c>
      <c r="D53" s="30" t="s">
        <v>135</v>
      </c>
      <c r="E53" s="50" t="s">
        <v>175</v>
      </c>
      <c r="F53" s="37" t="n">
        <v>25</v>
      </c>
      <c r="G53" s="38" t="n">
        <v>2438</v>
      </c>
      <c r="H53" s="39" t="n">
        <f aca="false">$H$45*G53/SUMPRODUCT($F$46:$F$64,$G$46:$G$64)</f>
        <v>1.5999847379215</v>
      </c>
      <c r="I53" s="37" t="n">
        <f aca="false">H53*Summary!$C$5*Summary!$C$6</f>
        <v>614.874134783231</v>
      </c>
      <c r="J53" s="38" t="n">
        <v>2438</v>
      </c>
      <c r="K53" s="40" t="n">
        <f aca="false">IFERROR(J53/I53-1,0)</f>
        <v>2.96503912277835</v>
      </c>
      <c r="L53" s="51" t="s">
        <v>14</v>
      </c>
    </row>
    <row r="54" customFormat="false" ht="19.4" hidden="false" customHeight="false" outlineLevel="0" collapsed="false">
      <c r="A54" s="30" t="n">
        <v>58</v>
      </c>
      <c r="B54" s="31" t="s">
        <v>146</v>
      </c>
      <c r="C54" s="30" t="s">
        <v>176</v>
      </c>
      <c r="D54" s="30" t="s">
        <v>138</v>
      </c>
      <c r="E54" s="50" t="s">
        <v>177</v>
      </c>
      <c r="F54" s="37" t="n">
        <v>50</v>
      </c>
      <c r="G54" s="38" t="n">
        <v>3120</v>
      </c>
      <c r="H54" s="39" t="n">
        <f aca="false">$H$45*G54/SUMPRODUCT($F$46:$F$64,$G$46:$G$64)</f>
        <v>2.04756045213908</v>
      </c>
      <c r="I54" s="37" t="n">
        <f aca="false">H54*Summary!$C$5*Summary!$C$6</f>
        <v>786.877481757047</v>
      </c>
      <c r="J54" s="38" t="n">
        <v>3120</v>
      </c>
      <c r="K54" s="40" t="n">
        <f aca="false">IFERROR(J54/I54-1,0)</f>
        <v>2.96503912277835</v>
      </c>
      <c r="L54" s="51" t="s">
        <v>14</v>
      </c>
    </row>
    <row r="55" customFormat="false" ht="15" hidden="false" customHeight="false" outlineLevel="0" collapsed="false">
      <c r="A55" s="30" t="n">
        <v>59</v>
      </c>
      <c r="B55" s="31" t="s">
        <v>146</v>
      </c>
      <c r="C55" s="30" t="s">
        <v>178</v>
      </c>
      <c r="D55" s="30" t="s">
        <v>141</v>
      </c>
      <c r="E55" s="50" t="s">
        <v>179</v>
      </c>
      <c r="F55" s="37" t="n">
        <v>25</v>
      </c>
      <c r="G55" s="38" t="n">
        <v>5070</v>
      </c>
      <c r="H55" s="39" t="n">
        <f aca="false">$H$45*G55/SUMPRODUCT($F$46:$F$64,$G$46:$G$64)</f>
        <v>3.327285734726</v>
      </c>
      <c r="I55" s="37" t="n">
        <f aca="false">H55*Summary!$C$5*Summary!$C$6</f>
        <v>1278.6759078552</v>
      </c>
      <c r="J55" s="38" t="n">
        <v>5070</v>
      </c>
      <c r="K55" s="40" t="n">
        <f aca="false">IFERROR(J55/I55-1,0)</f>
        <v>2.96503912277835</v>
      </c>
      <c r="L55" s="51" t="s">
        <v>14</v>
      </c>
    </row>
    <row r="56" customFormat="false" ht="19.4" hidden="false" customHeight="false" outlineLevel="0" collapsed="false">
      <c r="A56" s="30" t="n">
        <v>60</v>
      </c>
      <c r="B56" s="31" t="s">
        <v>146</v>
      </c>
      <c r="C56" s="30" t="s">
        <v>180</v>
      </c>
      <c r="D56" s="30" t="s">
        <v>145</v>
      </c>
      <c r="E56" s="50" t="s">
        <v>181</v>
      </c>
      <c r="F56" s="37" t="n">
        <v>25</v>
      </c>
      <c r="G56" s="38" t="n">
        <v>7605</v>
      </c>
      <c r="H56" s="39" t="n">
        <f aca="false">$H$45*G56/SUMPRODUCT($F$46:$F$64,$G$46:$G$64)</f>
        <v>4.990928602089</v>
      </c>
      <c r="I56" s="37" t="n">
        <f aca="false">H56*Summary!$C$5*Summary!$C$6</f>
        <v>1918.0138617828</v>
      </c>
      <c r="J56" s="38" t="n">
        <v>7605</v>
      </c>
      <c r="K56" s="40" t="n">
        <f aca="false">IFERROR(J56/I56-1,0)</f>
        <v>2.96503912277835</v>
      </c>
      <c r="L56" s="51" t="s">
        <v>14</v>
      </c>
    </row>
    <row r="57" customFormat="false" ht="15" hidden="false" customHeight="false" outlineLevel="0" collapsed="false">
      <c r="A57" s="30" t="n">
        <v>61</v>
      </c>
      <c r="B57" s="31" t="s">
        <v>182</v>
      </c>
      <c r="C57" s="30" t="s">
        <v>183</v>
      </c>
      <c r="D57" s="30" t="s">
        <v>185</v>
      </c>
      <c r="E57" s="50" t="s">
        <v>184</v>
      </c>
      <c r="F57" s="37" t="n">
        <v>200</v>
      </c>
      <c r="G57" s="38" t="n">
        <v>279</v>
      </c>
      <c r="H57" s="39" t="n">
        <f aca="false">$H$45*G57/SUMPRODUCT($F$46:$F$64,$G$46:$G$64)</f>
        <v>0.183099155816283</v>
      </c>
      <c r="I57" s="37" t="n">
        <f aca="false">H57*Summary!$C$5*Summary!$C$6</f>
        <v>70.3650055801975</v>
      </c>
      <c r="J57" s="38" t="n">
        <v>372</v>
      </c>
      <c r="K57" s="40" t="n">
        <f aca="false">IFERROR(J57/I57-1,0)</f>
        <v>4.28671883037114</v>
      </c>
      <c r="L57" s="51" t="s">
        <v>14</v>
      </c>
    </row>
    <row r="58" customFormat="false" ht="15" hidden="false" customHeight="false" outlineLevel="0" collapsed="false">
      <c r="A58" s="30" t="n">
        <v>62</v>
      </c>
      <c r="B58" s="31" t="s">
        <v>182</v>
      </c>
      <c r="C58" s="30" t="s">
        <v>186</v>
      </c>
      <c r="D58" s="30" t="s">
        <v>188</v>
      </c>
      <c r="E58" s="50" t="s">
        <v>187</v>
      </c>
      <c r="F58" s="37" t="n">
        <v>100</v>
      </c>
      <c r="G58" s="38" t="n">
        <v>302</v>
      </c>
      <c r="H58" s="39" t="n">
        <f aca="false">$H$45*G58/SUMPRODUCT($F$46:$F$64,$G$46:$G$64)</f>
        <v>0.198193351457052</v>
      </c>
      <c r="I58" s="37" t="n">
        <f aca="false">H58*Summary!$C$5*Summary!$C$6</f>
        <v>76.1657049649449</v>
      </c>
      <c r="J58" s="38" t="n">
        <v>402</v>
      </c>
      <c r="K58" s="40" t="n">
        <f aca="false">IFERROR(J58/I58-1,0)</f>
        <v>4.27796598462549</v>
      </c>
      <c r="L58" s="51" t="s">
        <v>14</v>
      </c>
    </row>
    <row r="59" customFormat="false" ht="15" hidden="false" customHeight="false" outlineLevel="0" collapsed="false">
      <c r="A59" s="30" t="n">
        <v>63</v>
      </c>
      <c r="B59" s="31" t="s">
        <v>182</v>
      </c>
      <c r="C59" s="30" t="s">
        <v>189</v>
      </c>
      <c r="D59" s="30" t="s">
        <v>191</v>
      </c>
      <c r="E59" s="50" t="s">
        <v>190</v>
      </c>
      <c r="F59" s="37" t="n">
        <v>100</v>
      </c>
      <c r="G59" s="38" t="n">
        <v>324</v>
      </c>
      <c r="H59" s="39" t="n">
        <f aca="false">$H$45*G59/SUMPRODUCT($F$46:$F$64,$G$46:$G$64)</f>
        <v>0.212631277722135</v>
      </c>
      <c r="I59" s="37" t="n">
        <f aca="false">H59*Summary!$C$5*Summary!$C$6</f>
        <v>81.7142000286164</v>
      </c>
      <c r="J59" s="38" t="n">
        <v>432</v>
      </c>
      <c r="K59" s="40" t="n">
        <f aca="false">IFERROR(J59/I59-1,0)</f>
        <v>4.28671883037114</v>
      </c>
      <c r="L59" s="51" t="s">
        <v>14</v>
      </c>
    </row>
    <row r="60" customFormat="false" ht="15" hidden="false" customHeight="false" outlineLevel="0" collapsed="false">
      <c r="A60" s="30" t="n">
        <v>64</v>
      </c>
      <c r="B60" s="31" t="s">
        <v>182</v>
      </c>
      <c r="C60" s="30" t="s">
        <v>192</v>
      </c>
      <c r="D60" s="30" t="s">
        <v>194</v>
      </c>
      <c r="E60" s="50" t="s">
        <v>193</v>
      </c>
      <c r="F60" s="37" t="n">
        <v>100</v>
      </c>
      <c r="G60" s="38" t="n">
        <v>428</v>
      </c>
      <c r="H60" s="39" t="n">
        <f aca="false">$H$45*G60/SUMPRODUCT($F$46:$F$64,$G$46:$G$64)</f>
        <v>0.280883292793437</v>
      </c>
      <c r="I60" s="37" t="n">
        <f aca="false">H60*Summary!$C$5*Summary!$C$6</f>
        <v>107.943449420518</v>
      </c>
      <c r="J60" s="38" t="n">
        <v>570</v>
      </c>
      <c r="K60" s="40" t="n">
        <f aca="false">IFERROR(J60/I60-1,0)</f>
        <v>4.28054275697117</v>
      </c>
      <c r="L60" s="51" t="s">
        <v>14</v>
      </c>
    </row>
    <row r="61" customFormat="false" ht="15" hidden="false" customHeight="false" outlineLevel="0" collapsed="false">
      <c r="A61" s="30" t="n">
        <v>65</v>
      </c>
      <c r="B61" s="31" t="s">
        <v>182</v>
      </c>
      <c r="C61" s="30" t="s">
        <v>195</v>
      </c>
      <c r="D61" s="30" t="s">
        <v>197</v>
      </c>
      <c r="E61" s="50" t="s">
        <v>196</v>
      </c>
      <c r="F61" s="37" t="n">
        <v>100</v>
      </c>
      <c r="G61" s="38" t="n">
        <v>562</v>
      </c>
      <c r="H61" s="39" t="n">
        <f aca="false">$H$45*G61/SUMPRODUCT($F$46:$F$64,$G$46:$G$64)</f>
        <v>0.368823389135308</v>
      </c>
      <c r="I61" s="37" t="n">
        <f aca="false">H61*Summary!$C$5*Summary!$C$6</f>
        <v>141.738828444699</v>
      </c>
      <c r="J61" s="38" t="n">
        <v>750</v>
      </c>
      <c r="K61" s="40" t="n">
        <f aca="false">IFERROR(J61/I61-1,0)</f>
        <v>4.29142231687503</v>
      </c>
      <c r="L61" s="51" t="s">
        <v>14</v>
      </c>
    </row>
    <row r="62" customFormat="false" ht="15" hidden="false" customHeight="false" outlineLevel="0" collapsed="false">
      <c r="A62" s="30" t="n">
        <v>66</v>
      </c>
      <c r="B62" s="31" t="s">
        <v>182</v>
      </c>
      <c r="C62" s="30" t="s">
        <v>198</v>
      </c>
      <c r="D62" s="30" t="s">
        <v>200</v>
      </c>
      <c r="E62" s="50" t="s">
        <v>199</v>
      </c>
      <c r="F62" s="37" t="n">
        <v>100</v>
      </c>
      <c r="G62" s="38" t="n">
        <v>720</v>
      </c>
      <c r="H62" s="39" t="n">
        <f aca="false">$H$45*G62/SUMPRODUCT($F$46:$F$64,$G$46:$G$64)</f>
        <v>0.472513950493633</v>
      </c>
      <c r="I62" s="37" t="n">
        <f aca="false">H62*Summary!$C$5*Summary!$C$6</f>
        <v>181.587111174703</v>
      </c>
      <c r="J62" s="38" t="n">
        <v>960</v>
      </c>
      <c r="K62" s="40" t="n">
        <f aca="false">IFERROR(J62/I62-1,0)</f>
        <v>4.28671883037114</v>
      </c>
      <c r="L62" s="51" t="s">
        <v>14</v>
      </c>
    </row>
    <row r="63" customFormat="false" ht="15" hidden="false" customHeight="false" outlineLevel="0" collapsed="false">
      <c r="A63" s="30" t="n">
        <v>67</v>
      </c>
      <c r="B63" s="31" t="s">
        <v>182</v>
      </c>
      <c r="C63" s="30" t="s">
        <v>201</v>
      </c>
      <c r="D63" s="30" t="s">
        <v>203</v>
      </c>
      <c r="E63" s="50" t="s">
        <v>202</v>
      </c>
      <c r="F63" s="37" t="n">
        <v>50</v>
      </c>
      <c r="G63" s="38" t="n">
        <v>1170</v>
      </c>
      <c r="H63" s="39" t="n">
        <f aca="false">$H$45*G63/SUMPRODUCT($F$46:$F$64,$G$46:$G$64)</f>
        <v>0.767835169552153</v>
      </c>
      <c r="I63" s="37" t="n">
        <f aca="false">H63*Summary!$C$5*Summary!$C$6</f>
        <v>295.079055658893</v>
      </c>
      <c r="J63" s="38" t="n">
        <v>1560</v>
      </c>
      <c r="K63" s="40" t="n">
        <f aca="false">IFERROR(J63/I63-1,0)</f>
        <v>4.28671883037114</v>
      </c>
      <c r="L63" s="51" t="s">
        <v>14</v>
      </c>
    </row>
    <row r="64" customFormat="false" ht="15" hidden="false" customHeight="false" outlineLevel="0" collapsed="false">
      <c r="A64" s="30" t="n">
        <v>68</v>
      </c>
      <c r="B64" s="31" t="s">
        <v>182</v>
      </c>
      <c r="C64" s="30" t="s">
        <v>204</v>
      </c>
      <c r="D64" s="30" t="s">
        <v>206</v>
      </c>
      <c r="E64" s="50" t="s">
        <v>205</v>
      </c>
      <c r="F64" s="37" t="n">
        <v>10</v>
      </c>
      <c r="G64" s="38" t="n">
        <v>1755</v>
      </c>
      <c r="H64" s="39" t="n">
        <f aca="false">$H$45*G64/SUMPRODUCT($F$46:$F$64,$G$46:$G$64)</f>
        <v>1.15175275432823</v>
      </c>
      <c r="I64" s="37" t="n">
        <f aca="false">H64*Summary!$C$5*Summary!$C$6</f>
        <v>442.618583488339</v>
      </c>
      <c r="J64" s="38" t="n">
        <v>2340</v>
      </c>
      <c r="K64" s="40" t="n">
        <f aca="false">IFERROR(J64/I64-1,0)</f>
        <v>4.28671883037114</v>
      </c>
      <c r="L64" s="51" t="s">
        <v>14</v>
      </c>
    </row>
    <row r="65" customFormat="false" ht="15" hidden="false" customHeight="false" outlineLevel="0" collapsed="false">
      <c r="A65" s="52"/>
      <c r="B65" s="52"/>
      <c r="C65" s="52"/>
      <c r="D65" s="52"/>
      <c r="E65" s="53" t="s">
        <v>314</v>
      </c>
      <c r="F65" s="54" t="n">
        <f aca="false">SUM(F46:F64)</f>
        <v>1260</v>
      </c>
      <c r="G65" s="52"/>
      <c r="H65" s="55" t="n">
        <f aca="false">SUMPRODUCT(F46:F64,H46:H64)</f>
        <v>1032</v>
      </c>
      <c r="I65" s="54" t="n">
        <f aca="false">SUMPRODUCT(F46:F64,I46:I64)</f>
        <v>396597.6</v>
      </c>
      <c r="J65" s="54" t="n">
        <f aca="false">SUMPRODUCT(F46:F64,J46:J64)</f>
        <v>1694275</v>
      </c>
      <c r="K65" s="52"/>
      <c r="L65" s="52"/>
    </row>
    <row r="67" customFormat="false" ht="15" hidden="false" customHeight="true" outlineLevel="0" collapsed="false">
      <c r="A67" s="46" t="s">
        <v>317</v>
      </c>
      <c r="B67" s="46"/>
      <c r="C67" s="46"/>
      <c r="D67" s="46"/>
      <c r="E67" s="46"/>
      <c r="F67" s="46"/>
      <c r="G67" s="47" t="s">
        <v>313</v>
      </c>
      <c r="H67" s="48" t="n">
        <v>70</v>
      </c>
      <c r="I67" s="49"/>
      <c r="J67" s="49"/>
      <c r="K67" s="49"/>
      <c r="L67" s="49"/>
    </row>
    <row r="68" customFormat="false" ht="15" hidden="false" customHeight="false" outlineLevel="0" collapsed="false">
      <c r="A68" s="30" t="n">
        <v>69</v>
      </c>
      <c r="B68" s="31" t="s">
        <v>207</v>
      </c>
      <c r="C68" s="30" t="s">
        <v>208</v>
      </c>
      <c r="D68" s="30" t="s">
        <v>185</v>
      </c>
      <c r="E68" s="50" t="s">
        <v>209</v>
      </c>
      <c r="F68" s="37" t="n">
        <v>10</v>
      </c>
      <c r="G68" s="38" t="n">
        <v>403</v>
      </c>
      <c r="H68" s="39" t="n">
        <f aca="false">$H$67*G68/SUMPRODUCT($F$68:$F$77,$G$68:$G$77)</f>
        <v>0.443762781186094</v>
      </c>
      <c r="I68" s="37" t="n">
        <f aca="false">H68*Summary!$C$5*Summary!$C$6</f>
        <v>170.538036809816</v>
      </c>
      <c r="J68" s="38" t="n">
        <v>558</v>
      </c>
      <c r="K68" s="40" t="n">
        <f aca="false">IFERROR(J68/I68-1,0)</f>
        <v>2.27199732351957</v>
      </c>
      <c r="L68" s="51" t="s">
        <v>14</v>
      </c>
    </row>
    <row r="69" customFormat="false" ht="15" hidden="false" customHeight="false" outlineLevel="0" collapsed="false">
      <c r="A69" s="30" t="n">
        <v>70</v>
      </c>
      <c r="B69" s="31" t="s">
        <v>207</v>
      </c>
      <c r="C69" s="30" t="s">
        <v>211</v>
      </c>
      <c r="D69" s="30" t="s">
        <v>191</v>
      </c>
      <c r="E69" s="50" t="s">
        <v>212</v>
      </c>
      <c r="F69" s="37" t="n">
        <v>10</v>
      </c>
      <c r="G69" s="38" t="n">
        <v>468</v>
      </c>
      <c r="H69" s="39" t="n">
        <f aca="false">$H$67*G69/SUMPRODUCT($F$68:$F$77,$G$68:$G$77)</f>
        <v>0.515337423312884</v>
      </c>
      <c r="I69" s="37" t="n">
        <f aca="false">H69*Summary!$C$5*Summary!$C$6</f>
        <v>198.044171779141</v>
      </c>
      <c r="J69" s="38" t="n">
        <v>648</v>
      </c>
      <c r="K69" s="40" t="n">
        <f aca="false">IFERROR(J69/I69-1,0)</f>
        <v>2.27199732351957</v>
      </c>
      <c r="L69" s="51" t="s">
        <v>14</v>
      </c>
    </row>
    <row r="70" customFormat="false" ht="15" hidden="false" customHeight="false" outlineLevel="0" collapsed="false">
      <c r="A70" s="30" t="n">
        <v>71</v>
      </c>
      <c r="B70" s="31" t="s">
        <v>207</v>
      </c>
      <c r="C70" s="30" t="s">
        <v>213</v>
      </c>
      <c r="D70" s="30" t="s">
        <v>194</v>
      </c>
      <c r="E70" s="50" t="s">
        <v>214</v>
      </c>
      <c r="F70" s="37" t="n">
        <v>10</v>
      </c>
      <c r="G70" s="38" t="n">
        <v>618</v>
      </c>
      <c r="H70" s="39" t="n">
        <f aca="false">$H$67*G70/SUMPRODUCT($F$68:$F$77,$G$68:$G$77)</f>
        <v>0.680509674374705</v>
      </c>
      <c r="I70" s="37" t="n">
        <f aca="false">H70*Summary!$C$5*Summary!$C$6</f>
        <v>261.519867862199</v>
      </c>
      <c r="J70" s="38" t="n">
        <v>855</v>
      </c>
      <c r="K70" s="40" t="n">
        <f aca="false">IFERROR(J70/I70-1,0)</f>
        <v>2.26935007649407</v>
      </c>
      <c r="L70" s="51" t="s">
        <v>14</v>
      </c>
    </row>
    <row r="71" customFormat="false" ht="15" hidden="false" customHeight="false" outlineLevel="0" collapsed="false">
      <c r="A71" s="30" t="n">
        <v>72</v>
      </c>
      <c r="B71" s="31" t="s">
        <v>207</v>
      </c>
      <c r="C71" s="30" t="s">
        <v>215</v>
      </c>
      <c r="D71" s="30" t="s">
        <v>197</v>
      </c>
      <c r="E71" s="50" t="s">
        <v>216</v>
      </c>
      <c r="F71" s="37" t="n">
        <v>10</v>
      </c>
      <c r="G71" s="38" t="n">
        <v>812</v>
      </c>
      <c r="H71" s="39" t="n">
        <f aca="false">$H$67*G71/SUMPRODUCT($F$68:$F$77,$G$68:$G$77)</f>
        <v>0.894132452414661</v>
      </c>
      <c r="I71" s="37" t="n">
        <f aca="false">H71*Summary!$C$5*Summary!$C$6</f>
        <v>343.615101462954</v>
      </c>
      <c r="J71" s="38" t="n">
        <v>1125</v>
      </c>
      <c r="K71" s="40" t="n">
        <f aca="false">IFERROR(J71/I71-1,0)</f>
        <v>2.27401210019662</v>
      </c>
      <c r="L71" s="51" t="s">
        <v>14</v>
      </c>
    </row>
    <row r="72" customFormat="false" ht="15" hidden="false" customHeight="false" outlineLevel="0" collapsed="false">
      <c r="A72" s="30" t="n">
        <v>73</v>
      </c>
      <c r="B72" s="31" t="s">
        <v>217</v>
      </c>
      <c r="C72" s="30" t="s">
        <v>218</v>
      </c>
      <c r="D72" s="30" t="s">
        <v>119</v>
      </c>
      <c r="E72" s="50" t="s">
        <v>219</v>
      </c>
      <c r="F72" s="37" t="n">
        <v>10</v>
      </c>
      <c r="G72" s="38" t="n">
        <v>682</v>
      </c>
      <c r="H72" s="39" t="n">
        <f aca="false">$H$67*G72/SUMPRODUCT($F$68:$F$77,$G$68:$G$77)</f>
        <v>0.750983168161082</v>
      </c>
      <c r="I72" s="37" t="n">
        <f aca="false">H72*Summary!$C$5*Summary!$C$6</f>
        <v>288.602831524304</v>
      </c>
      <c r="J72" s="38" t="n">
        <v>806</v>
      </c>
      <c r="K72" s="40" t="n">
        <f aca="false">IFERROR(J72/I72-1,0)</f>
        <v>1.79276539229701</v>
      </c>
      <c r="L72" s="51" t="s">
        <v>14</v>
      </c>
    </row>
    <row r="73" customFormat="false" ht="15" hidden="false" customHeight="false" outlineLevel="0" collapsed="false">
      <c r="A73" s="30" t="n">
        <v>74</v>
      </c>
      <c r="B73" s="31" t="s">
        <v>217</v>
      </c>
      <c r="C73" s="30" t="s">
        <v>220</v>
      </c>
      <c r="D73" s="30" t="s">
        <v>119</v>
      </c>
      <c r="E73" s="50" t="s">
        <v>221</v>
      </c>
      <c r="F73" s="37" t="n">
        <v>10</v>
      </c>
      <c r="G73" s="38" t="n">
        <v>682</v>
      </c>
      <c r="H73" s="39" t="n">
        <f aca="false">$H$67*G73/SUMPRODUCT($F$68:$F$77,$G$68:$G$77)</f>
        <v>0.750983168161082</v>
      </c>
      <c r="I73" s="37" t="n">
        <f aca="false">H73*Summary!$C$5*Summary!$C$6</f>
        <v>288.602831524304</v>
      </c>
      <c r="J73" s="38" t="n">
        <v>806</v>
      </c>
      <c r="K73" s="40" t="n">
        <f aca="false">IFERROR(J73/I73-1,0)</f>
        <v>1.79276539229701</v>
      </c>
      <c r="L73" s="51" t="s">
        <v>14</v>
      </c>
    </row>
    <row r="74" customFormat="false" ht="15" hidden="false" customHeight="false" outlineLevel="0" collapsed="false">
      <c r="A74" s="30" t="n">
        <v>75</v>
      </c>
      <c r="B74" s="31" t="s">
        <v>217</v>
      </c>
      <c r="C74" s="30" t="s">
        <v>222</v>
      </c>
      <c r="D74" s="30" t="s">
        <v>123</v>
      </c>
      <c r="E74" s="50" t="s">
        <v>223</v>
      </c>
      <c r="F74" s="37" t="n">
        <v>10</v>
      </c>
      <c r="G74" s="38" t="n">
        <v>792</v>
      </c>
      <c r="H74" s="39" t="n">
        <f aca="false">$H$67*G74/SUMPRODUCT($F$68:$F$77,$G$68:$G$77)</f>
        <v>0.872109485606418</v>
      </c>
      <c r="I74" s="37" t="n">
        <f aca="false">H74*Summary!$C$5*Summary!$C$6</f>
        <v>335.151675318547</v>
      </c>
      <c r="J74" s="38" t="n">
        <v>936</v>
      </c>
      <c r="K74" s="40" t="n">
        <f aca="false">IFERROR(J74/I74-1,0)</f>
        <v>1.79276539229701</v>
      </c>
      <c r="L74" s="51" t="s">
        <v>14</v>
      </c>
    </row>
    <row r="75" customFormat="false" ht="15" hidden="false" customHeight="false" outlineLevel="0" collapsed="false">
      <c r="A75" s="30" t="n">
        <v>76</v>
      </c>
      <c r="B75" s="31" t="s">
        <v>217</v>
      </c>
      <c r="C75" s="30" t="s">
        <v>224</v>
      </c>
      <c r="D75" s="30" t="s">
        <v>130</v>
      </c>
      <c r="E75" s="50" t="s">
        <v>225</v>
      </c>
      <c r="F75" s="37" t="n">
        <v>10</v>
      </c>
      <c r="G75" s="38" t="n">
        <v>1045</v>
      </c>
      <c r="H75" s="39" t="n">
        <f aca="false">$H$67*G75/SUMPRODUCT($F$68:$F$77,$G$68:$G$77)</f>
        <v>1.15070001573069</v>
      </c>
      <c r="I75" s="37" t="n">
        <f aca="false">H75*Summary!$C$5*Summary!$C$6</f>
        <v>442.214016045304</v>
      </c>
      <c r="J75" s="38" t="n">
        <v>1235</v>
      </c>
      <c r="K75" s="40" t="n">
        <f aca="false">IFERROR(J75/I75-1,0)</f>
        <v>1.79276539229701</v>
      </c>
      <c r="L75" s="51" t="s">
        <v>14</v>
      </c>
    </row>
    <row r="76" customFormat="false" ht="19.4" hidden="false" customHeight="false" outlineLevel="0" collapsed="false">
      <c r="A76" s="30" t="n">
        <v>77</v>
      </c>
      <c r="B76" s="31" t="s">
        <v>226</v>
      </c>
      <c r="C76" s="30" t="s">
        <v>227</v>
      </c>
      <c r="D76" s="30" t="s">
        <v>229</v>
      </c>
      <c r="E76" s="50" t="s">
        <v>228</v>
      </c>
      <c r="F76" s="37" t="n">
        <v>5</v>
      </c>
      <c r="G76" s="38" t="n">
        <v>855</v>
      </c>
      <c r="H76" s="39" t="n">
        <f aca="false">$H$67*G76/SUMPRODUCT($F$68:$F$77,$G$68:$G$77)</f>
        <v>0.941481831052383</v>
      </c>
      <c r="I76" s="37" t="n">
        <f aca="false">H76*Summary!$C$5*Summary!$C$6</f>
        <v>361.811467673431</v>
      </c>
      <c r="J76" s="38" t="n">
        <v>950</v>
      </c>
      <c r="K76" s="40" t="n">
        <f aca="false">IFERROR(J76/I76-1,0)</f>
        <v>1.62567686455274</v>
      </c>
      <c r="L76" s="51" t="s">
        <v>14</v>
      </c>
    </row>
    <row r="77" customFormat="false" ht="19.4" hidden="false" customHeight="false" outlineLevel="0" collapsed="false">
      <c r="A77" s="30" t="n">
        <v>78</v>
      </c>
      <c r="B77" s="31" t="s">
        <v>226</v>
      </c>
      <c r="C77" s="30" t="s">
        <v>230</v>
      </c>
      <c r="D77" s="30" t="s">
        <v>229</v>
      </c>
      <c r="E77" s="50" t="s">
        <v>231</v>
      </c>
      <c r="F77" s="37" t="n">
        <v>5</v>
      </c>
      <c r="G77" s="38" t="n">
        <v>855</v>
      </c>
      <c r="H77" s="39" t="n">
        <f aca="false">$H$67*G77/SUMPRODUCT($F$68:$F$77,$G$68:$G$77)</f>
        <v>0.941481831052383</v>
      </c>
      <c r="I77" s="37" t="n">
        <f aca="false">H77*Summary!$C$5*Summary!$C$6</f>
        <v>361.811467673431</v>
      </c>
      <c r="J77" s="38" t="n">
        <v>950</v>
      </c>
      <c r="K77" s="40" t="n">
        <f aca="false">IFERROR(J77/I77-1,0)</f>
        <v>1.62567686455274</v>
      </c>
      <c r="L77" s="51" t="s">
        <v>14</v>
      </c>
    </row>
    <row r="78" customFormat="false" ht="15" hidden="false" customHeight="false" outlineLevel="0" collapsed="false">
      <c r="A78" s="52"/>
      <c r="B78" s="52"/>
      <c r="C78" s="52"/>
      <c r="D78" s="52"/>
      <c r="E78" s="53" t="s">
        <v>314</v>
      </c>
      <c r="F78" s="54" t="n">
        <f aca="false">SUM(F68:F77)</f>
        <v>90</v>
      </c>
      <c r="G78" s="52"/>
      <c r="H78" s="55" t="n">
        <f aca="false">SUMPRODUCT(F68:F77,H68:H77)</f>
        <v>70</v>
      </c>
      <c r="I78" s="54" t="n">
        <f aca="false">SUMPRODUCT(F68:F77,I68:I77)</f>
        <v>26901</v>
      </c>
      <c r="J78" s="54" t="n">
        <f aca="false">SUMPRODUCT(F68:F77,J68:J77)</f>
        <v>79190</v>
      </c>
      <c r="K78" s="52"/>
      <c r="L78" s="52"/>
    </row>
    <row r="80" customFormat="false" ht="15" hidden="false" customHeight="true" outlineLevel="0" collapsed="false">
      <c r="A80" s="46" t="s">
        <v>318</v>
      </c>
      <c r="B80" s="46"/>
      <c r="C80" s="46"/>
      <c r="D80" s="46"/>
      <c r="E80" s="46"/>
      <c r="F80" s="46"/>
      <c r="G80" s="47" t="s">
        <v>313</v>
      </c>
      <c r="H80" s="48" t="n">
        <v>120</v>
      </c>
      <c r="I80" s="49"/>
      <c r="J80" s="49"/>
      <c r="K80" s="49"/>
      <c r="L80" s="49"/>
    </row>
    <row r="81" customFormat="false" ht="19.4" hidden="false" customHeight="false" outlineLevel="0" collapsed="false">
      <c r="A81" s="30" t="n">
        <v>79</v>
      </c>
      <c r="B81" s="31" t="s">
        <v>233</v>
      </c>
      <c r="C81" s="30" t="s">
        <v>234</v>
      </c>
      <c r="D81" s="30" t="s">
        <v>68</v>
      </c>
      <c r="E81" s="50" t="s">
        <v>235</v>
      </c>
      <c r="F81" s="37" t="n">
        <v>10</v>
      </c>
      <c r="G81" s="38" t="n">
        <v>1000</v>
      </c>
      <c r="H81" s="39" t="n">
        <f aca="false">$H$80*G81/SUMPRODUCT($F$81:$F$85,$G$81:$G$85)</f>
        <v>1.02564102564103</v>
      </c>
      <c r="I81" s="37" t="n">
        <f aca="false">H81*Summary!$C$5*Summary!$C$6</f>
        <v>394.153846153846</v>
      </c>
      <c r="J81" s="38" t="n">
        <v>1800</v>
      </c>
      <c r="K81" s="40" t="n">
        <f aca="false">IFERROR(J81/I81-1,0)</f>
        <v>3.56674473067916</v>
      </c>
      <c r="L81" s="51" t="s">
        <v>14</v>
      </c>
    </row>
    <row r="82" customFormat="false" ht="19.4" hidden="false" customHeight="false" outlineLevel="0" collapsed="false">
      <c r="A82" s="30" t="n">
        <v>80</v>
      </c>
      <c r="B82" s="31" t="s">
        <v>233</v>
      </c>
      <c r="C82" s="30" t="s">
        <v>237</v>
      </c>
      <c r="D82" s="30" t="s">
        <v>70</v>
      </c>
      <c r="E82" s="50" t="s">
        <v>238</v>
      </c>
      <c r="F82" s="37" t="n">
        <v>10</v>
      </c>
      <c r="G82" s="38" t="n">
        <v>1400</v>
      </c>
      <c r="H82" s="39" t="n">
        <f aca="false">$H$80*G82/SUMPRODUCT($F$81:$F$85,$G$81:$G$85)</f>
        <v>1.43589743589744</v>
      </c>
      <c r="I82" s="37" t="n">
        <f aca="false">H82*Summary!$C$5*Summary!$C$6</f>
        <v>551.815384615385</v>
      </c>
      <c r="J82" s="38" t="n">
        <v>2520</v>
      </c>
      <c r="K82" s="40" t="n">
        <f aca="false">IFERROR(J82/I82-1,0)</f>
        <v>3.56674473067916</v>
      </c>
      <c r="L82" s="51" t="s">
        <v>14</v>
      </c>
    </row>
    <row r="83" customFormat="false" ht="19.4" hidden="false" customHeight="false" outlineLevel="0" collapsed="false">
      <c r="A83" s="30" t="n">
        <v>81</v>
      </c>
      <c r="B83" s="31" t="s">
        <v>233</v>
      </c>
      <c r="C83" s="30" t="s">
        <v>239</v>
      </c>
      <c r="D83" s="30" t="s">
        <v>72</v>
      </c>
      <c r="E83" s="50" t="s">
        <v>240</v>
      </c>
      <c r="F83" s="37" t="n">
        <v>10</v>
      </c>
      <c r="G83" s="38" t="n">
        <v>1800</v>
      </c>
      <c r="H83" s="39" t="n">
        <f aca="false">$H$80*G83/SUMPRODUCT($F$81:$F$85,$G$81:$G$85)</f>
        <v>1.84615384615385</v>
      </c>
      <c r="I83" s="37" t="n">
        <f aca="false">H83*Summary!$C$5*Summary!$C$6</f>
        <v>709.476923076923</v>
      </c>
      <c r="J83" s="38" t="n">
        <v>3240</v>
      </c>
      <c r="K83" s="40" t="n">
        <f aca="false">IFERROR(J83/I83-1,0)</f>
        <v>3.56674473067916</v>
      </c>
      <c r="L83" s="51" t="s">
        <v>14</v>
      </c>
    </row>
    <row r="84" customFormat="false" ht="19.4" hidden="false" customHeight="false" outlineLevel="0" collapsed="false">
      <c r="A84" s="30" t="n">
        <v>82</v>
      </c>
      <c r="B84" s="31" t="s">
        <v>241</v>
      </c>
      <c r="C84" s="30" t="s">
        <v>242</v>
      </c>
      <c r="D84" s="30" t="s">
        <v>68</v>
      </c>
      <c r="E84" s="50" t="s">
        <v>243</v>
      </c>
      <c r="F84" s="37" t="n">
        <v>10</v>
      </c>
      <c r="G84" s="38" t="n">
        <v>3000</v>
      </c>
      <c r="H84" s="39" t="n">
        <f aca="false">$H$80*G84/SUMPRODUCT($F$81:$F$85,$G$81:$G$85)</f>
        <v>3.07692307692308</v>
      </c>
      <c r="I84" s="37" t="n">
        <f aca="false">H84*Summary!$C$5*Summary!$C$6</f>
        <v>1182.46153846154</v>
      </c>
      <c r="J84" s="38" t="n">
        <v>4350</v>
      </c>
      <c r="K84" s="40" t="n">
        <f aca="false">IFERROR(J84/I84-1,0)</f>
        <v>2.67876658860265</v>
      </c>
      <c r="L84" s="51" t="s">
        <v>14</v>
      </c>
    </row>
    <row r="85" customFormat="false" ht="19.4" hidden="false" customHeight="false" outlineLevel="0" collapsed="false">
      <c r="A85" s="30" t="n">
        <v>83</v>
      </c>
      <c r="B85" s="31" t="s">
        <v>241</v>
      </c>
      <c r="C85" s="30" t="s">
        <v>244</v>
      </c>
      <c r="D85" s="30" t="s">
        <v>70</v>
      </c>
      <c r="E85" s="50" t="s">
        <v>245</v>
      </c>
      <c r="F85" s="37" t="n">
        <v>10</v>
      </c>
      <c r="G85" s="38" t="n">
        <v>4500</v>
      </c>
      <c r="H85" s="39" t="n">
        <f aca="false">$H$80*G85/SUMPRODUCT($F$81:$F$85,$G$81:$G$85)</f>
        <v>4.61538461538462</v>
      </c>
      <c r="I85" s="37" t="n">
        <f aca="false">H85*Summary!$C$5*Summary!$C$6</f>
        <v>1773.69230769231</v>
      </c>
      <c r="J85" s="38" t="n">
        <v>6525</v>
      </c>
      <c r="K85" s="40" t="n">
        <f aca="false">IFERROR(J85/I85-1,0)</f>
        <v>2.67876658860265</v>
      </c>
      <c r="L85" s="51" t="s">
        <v>14</v>
      </c>
    </row>
    <row r="86" customFormat="false" ht="15" hidden="false" customHeight="false" outlineLevel="0" collapsed="false">
      <c r="A86" s="52"/>
      <c r="B86" s="52"/>
      <c r="C86" s="52"/>
      <c r="D86" s="52"/>
      <c r="E86" s="53" t="s">
        <v>314</v>
      </c>
      <c r="F86" s="54" t="n">
        <f aca="false">SUM(F81:F85)</f>
        <v>50</v>
      </c>
      <c r="G86" s="52"/>
      <c r="H86" s="55" t="n">
        <f aca="false">SUMPRODUCT(F81:F85,H81:H85)</f>
        <v>120</v>
      </c>
      <c r="I86" s="54" t="n">
        <f aca="false">SUMPRODUCT(F81:F85,I81:I85)</f>
        <v>46116</v>
      </c>
      <c r="J86" s="54" t="n">
        <f aca="false">SUMPRODUCT(F81:F85,J81:J85)</f>
        <v>184350</v>
      </c>
      <c r="K86" s="52"/>
      <c r="L86" s="52"/>
    </row>
    <row r="88" customFormat="false" ht="15" hidden="false" customHeight="true" outlineLevel="0" collapsed="false">
      <c r="A88" s="3" t="s">
        <v>319</v>
      </c>
      <c r="B88" s="3"/>
      <c r="C88" s="3"/>
      <c r="D88" s="3"/>
      <c r="E88" s="3"/>
      <c r="F88" s="3"/>
      <c r="G88" s="3"/>
      <c r="H88" s="3"/>
      <c r="I88" s="3"/>
      <c r="J88" s="3"/>
      <c r="K88" s="3"/>
      <c r="L88" s="3"/>
    </row>
    <row r="89" customFormat="false" ht="35.05" hidden="false" customHeight="false" outlineLevel="0" collapsed="false">
      <c r="B89" s="4" t="s">
        <v>320</v>
      </c>
      <c r="D89" s="61" t="n">
        <f aca="false">I21+I43+I65+I78+I86</f>
        <v>1235635.947</v>
      </c>
    </row>
    <row r="90" customFormat="false" ht="35.05" hidden="false" customHeight="false" outlineLevel="0" collapsed="false">
      <c r="B90" s="4" t="s">
        <v>321</v>
      </c>
      <c r="D90" s="61" t="n">
        <f aca="false">J21+J43+J65+J78+J86</f>
        <v>4098985</v>
      </c>
    </row>
    <row r="91" customFormat="false" ht="39.55" hidden="false" customHeight="false" outlineLevel="0" collapsed="false">
      <c r="B91" s="62" t="s">
        <v>322</v>
      </c>
      <c r="D91" s="63" t="n">
        <f aca="false">D90/D89-1</f>
        <v>2.3173079902312</v>
      </c>
    </row>
    <row r="93" customFormat="false" ht="15" hidden="false" customHeight="true" outlineLevel="0" collapsed="false">
      <c r="A93" s="46" t="s">
        <v>323</v>
      </c>
      <c r="B93" s="46"/>
      <c r="C93" s="46"/>
      <c r="D93" s="46"/>
      <c r="E93" s="46"/>
      <c r="F93" s="46"/>
      <c r="G93" s="46"/>
      <c r="H93" s="46"/>
      <c r="I93" s="46"/>
      <c r="J93" s="46"/>
      <c r="K93" s="46"/>
      <c r="L93" s="46"/>
    </row>
    <row r="94" customFormat="false" ht="25.5" hidden="false" customHeight="true" outlineLevel="0" collapsed="false">
      <c r="A94" s="27" t="s">
        <v>324</v>
      </c>
      <c r="B94" s="27"/>
      <c r="C94" s="27"/>
      <c r="D94" s="27"/>
      <c r="E94" s="27"/>
      <c r="F94" s="27"/>
      <c r="G94" s="27"/>
      <c r="H94" s="27"/>
      <c r="I94" s="27"/>
      <c r="J94" s="27"/>
      <c r="K94" s="27"/>
      <c r="L94" s="27"/>
    </row>
    <row r="95" customFormat="false" ht="25.5" hidden="false" customHeight="true" outlineLevel="0" collapsed="false">
      <c r="A95" s="27" t="s">
        <v>325</v>
      </c>
      <c r="B95" s="27"/>
      <c r="C95" s="27"/>
      <c r="D95" s="27"/>
      <c r="E95" s="27"/>
      <c r="F95" s="27"/>
      <c r="G95" s="27"/>
      <c r="H95" s="27"/>
      <c r="I95" s="27"/>
      <c r="J95" s="27"/>
      <c r="K95" s="27"/>
      <c r="L95" s="27"/>
    </row>
    <row r="96" customFormat="false" ht="25.5" hidden="false" customHeight="true" outlineLevel="0" collapsed="false">
      <c r="A96" s="27" t="s">
        <v>326</v>
      </c>
      <c r="B96" s="27"/>
      <c r="C96" s="27"/>
      <c r="D96" s="27"/>
      <c r="E96" s="27"/>
      <c r="F96" s="27"/>
      <c r="G96" s="27"/>
      <c r="H96" s="27"/>
      <c r="I96" s="27"/>
      <c r="J96" s="27"/>
      <c r="K96" s="27"/>
      <c r="L96" s="27"/>
    </row>
    <row r="97" customFormat="false" ht="25.5" hidden="false" customHeight="true" outlineLevel="0" collapsed="false">
      <c r="A97" s="27" t="s">
        <v>327</v>
      </c>
      <c r="B97" s="27"/>
      <c r="C97" s="27"/>
      <c r="D97" s="27"/>
      <c r="E97" s="27"/>
      <c r="F97" s="27"/>
      <c r="G97" s="27"/>
      <c r="H97" s="27"/>
      <c r="I97" s="27"/>
      <c r="J97" s="27"/>
      <c r="K97" s="27"/>
      <c r="L97" s="27"/>
    </row>
    <row r="98" customFormat="false" ht="25.5" hidden="false" customHeight="true" outlineLevel="0" collapsed="false">
      <c r="A98" s="27" t="s">
        <v>328</v>
      </c>
      <c r="B98" s="27"/>
      <c r="C98" s="27"/>
      <c r="D98" s="27"/>
      <c r="E98" s="27"/>
      <c r="F98" s="27"/>
      <c r="G98" s="27"/>
      <c r="H98" s="27"/>
      <c r="I98" s="27"/>
      <c r="J98" s="27"/>
      <c r="K98" s="27"/>
      <c r="L98" s="27"/>
    </row>
    <row r="99" customFormat="false" ht="25.5" hidden="false" customHeight="true" outlineLevel="0" collapsed="false">
      <c r="A99" s="27" t="s">
        <v>329</v>
      </c>
      <c r="B99" s="27"/>
      <c r="C99" s="27"/>
      <c r="D99" s="27"/>
      <c r="E99" s="27"/>
      <c r="F99" s="27"/>
      <c r="G99" s="27"/>
      <c r="H99" s="27"/>
      <c r="I99" s="27"/>
      <c r="J99" s="27"/>
      <c r="K99" s="27"/>
      <c r="L99" s="27"/>
    </row>
  </sheetData>
  <mergeCells count="15">
    <mergeCell ref="A1:L1"/>
    <mergeCell ref="A2:L2"/>
    <mergeCell ref="A5:F5"/>
    <mergeCell ref="A23:F23"/>
    <mergeCell ref="A45:F45"/>
    <mergeCell ref="A67:F67"/>
    <mergeCell ref="A80:F80"/>
    <mergeCell ref="A88:L88"/>
    <mergeCell ref="A93:L93"/>
    <mergeCell ref="A94:L94"/>
    <mergeCell ref="A95:L95"/>
    <mergeCell ref="A96:L96"/>
    <mergeCell ref="A97:L97"/>
    <mergeCell ref="A98:L98"/>
    <mergeCell ref="A99:L9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4" topLeftCell="A1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8"/>
    <col collapsed="false" customWidth="true" hidden="false" outlineLevel="0" max="4" min="3" style="0" width="10"/>
    <col collapsed="false" customWidth="true" hidden="false" outlineLevel="0" max="5" min="5" style="0" width="12"/>
    <col collapsed="false" customWidth="true" hidden="false" outlineLevel="0" max="6" min="6" style="0" width="13"/>
    <col collapsed="false" customWidth="true" hidden="false" outlineLevel="0" max="9" min="7" style="0" width="9"/>
    <col collapsed="false" customWidth="true" hidden="false" outlineLevel="0" max="10" min="10" style="0" width="12"/>
    <col collapsed="false" customWidth="true" hidden="false" outlineLevel="0" max="11" min="11" style="0" width="9"/>
  </cols>
  <sheetData>
    <row r="1" customFormat="false" ht="25.5" hidden="false" customHeight="true" outlineLevel="0" collapsed="false">
      <c r="A1" s="28" t="s">
        <v>330</v>
      </c>
      <c r="B1" s="28"/>
      <c r="C1" s="28"/>
      <c r="D1" s="28"/>
      <c r="E1" s="28"/>
      <c r="F1" s="28"/>
      <c r="G1" s="28"/>
      <c r="H1" s="28"/>
      <c r="I1" s="28"/>
      <c r="J1" s="28"/>
      <c r="K1" s="28"/>
    </row>
    <row r="2" customFormat="false" ht="25.5" hidden="false" customHeight="true" outlineLevel="0" collapsed="false">
      <c r="A2" s="29" t="s">
        <v>331</v>
      </c>
      <c r="B2" s="29"/>
      <c r="C2" s="29"/>
      <c r="D2" s="29"/>
      <c r="E2" s="29"/>
      <c r="F2" s="29"/>
      <c r="G2" s="29"/>
      <c r="H2" s="29"/>
      <c r="I2" s="29"/>
      <c r="J2" s="29"/>
      <c r="K2" s="29"/>
    </row>
    <row r="4" customFormat="false" ht="15" hidden="false" customHeight="true" outlineLevel="0" collapsed="false">
      <c r="A4" s="3" t="s">
        <v>332</v>
      </c>
      <c r="B4" s="3"/>
      <c r="C4" s="3"/>
      <c r="D4" s="3"/>
      <c r="E4" s="3"/>
      <c r="F4" s="3"/>
    </row>
    <row r="5" customFormat="false" ht="46.25" hidden="false" customHeight="true" outlineLevel="0" collapsed="false">
      <c r="A5" s="64" t="s">
        <v>333</v>
      </c>
      <c r="B5" s="65" t="n">
        <f aca="false">1700*Summary!$C$5*Summary!$C$6</f>
        <v>653310</v>
      </c>
      <c r="C5" s="66" t="s">
        <v>334</v>
      </c>
      <c r="D5" s="66"/>
      <c r="E5" s="66"/>
      <c r="F5" s="66"/>
    </row>
    <row r="6" customFormat="false" ht="23.85" hidden="false" customHeight="true" outlineLevel="0" collapsed="false">
      <c r="A6" s="64" t="s">
        <v>335</v>
      </c>
      <c r="B6" s="65" t="n">
        <v>7</v>
      </c>
      <c r="C6" s="66" t="s">
        <v>336</v>
      </c>
      <c r="D6" s="66"/>
      <c r="E6" s="66"/>
      <c r="F6" s="66"/>
    </row>
    <row r="7" customFormat="false" ht="35.05" hidden="false" customHeight="true" outlineLevel="0" collapsed="false">
      <c r="A7" s="64" t="s">
        <v>337</v>
      </c>
      <c r="B7" s="65" t="n">
        <v>800</v>
      </c>
      <c r="C7" s="66" t="s">
        <v>338</v>
      </c>
      <c r="D7" s="66"/>
      <c r="E7" s="66"/>
      <c r="F7" s="66"/>
    </row>
    <row r="8" customFormat="false" ht="57.45" hidden="false" customHeight="true" outlineLevel="0" collapsed="false">
      <c r="A8" s="4" t="s">
        <v>339</v>
      </c>
      <c r="B8" s="10" t="n">
        <f aca="false">B5/(B6*B7)</f>
        <v>116.6625</v>
      </c>
      <c r="C8" s="66" t="s">
        <v>340</v>
      </c>
      <c r="D8" s="66"/>
      <c r="E8" s="66"/>
      <c r="F8" s="66"/>
    </row>
    <row r="9" customFormat="false" ht="46.25" hidden="false" customHeight="true" outlineLevel="0" collapsed="false">
      <c r="A9" s="64" t="s">
        <v>341</v>
      </c>
      <c r="B9" s="65" t="n">
        <v>1400</v>
      </c>
      <c r="C9" s="66" t="s">
        <v>342</v>
      </c>
      <c r="D9" s="66"/>
      <c r="E9" s="66"/>
      <c r="F9" s="66"/>
    </row>
    <row r="10" customFormat="false" ht="46.25" hidden="false" customHeight="true" outlineLevel="0" collapsed="false">
      <c r="A10" s="64" t="s">
        <v>343</v>
      </c>
      <c r="B10" s="65" t="n">
        <v>30</v>
      </c>
      <c r="C10" s="66" t="s">
        <v>344</v>
      </c>
      <c r="D10" s="66"/>
      <c r="E10" s="66"/>
      <c r="F10" s="66"/>
    </row>
    <row r="11" customFormat="false" ht="23.85" hidden="false" customHeight="true" outlineLevel="0" collapsed="false">
      <c r="A11" s="64" t="s">
        <v>345</v>
      </c>
      <c r="B11" s="67" t="n">
        <v>3</v>
      </c>
      <c r="C11" s="66" t="s">
        <v>346</v>
      </c>
      <c r="D11" s="66"/>
      <c r="E11" s="66"/>
      <c r="F11" s="66"/>
    </row>
    <row r="13" customFormat="false" ht="15" hidden="false" customHeight="true" outlineLevel="0" collapsed="false">
      <c r="A13" s="3" t="s">
        <v>347</v>
      </c>
      <c r="B13" s="3"/>
      <c r="C13" s="3"/>
      <c r="D13" s="3"/>
      <c r="E13" s="3"/>
      <c r="F13" s="3"/>
      <c r="G13" s="3"/>
      <c r="H13" s="3"/>
      <c r="I13" s="3"/>
      <c r="J13" s="3"/>
      <c r="K13" s="3"/>
    </row>
    <row r="14" customFormat="false" ht="22.35" hidden="false" customHeight="false" outlineLevel="0" collapsed="false">
      <c r="A14" s="36" t="s">
        <v>43</v>
      </c>
      <c r="B14" s="36" t="s">
        <v>348</v>
      </c>
      <c r="C14" s="36" t="s">
        <v>349</v>
      </c>
      <c r="D14" s="36" t="s">
        <v>350</v>
      </c>
      <c r="E14" s="36" t="s">
        <v>351</v>
      </c>
      <c r="F14" s="36" t="s">
        <v>352</v>
      </c>
      <c r="G14" s="36" t="s">
        <v>353</v>
      </c>
      <c r="H14" s="36" t="s">
        <v>354</v>
      </c>
      <c r="I14" s="36" t="s">
        <v>355</v>
      </c>
      <c r="J14" s="36" t="s">
        <v>356</v>
      </c>
      <c r="K14" s="36" t="s">
        <v>357</v>
      </c>
    </row>
    <row r="15" customFormat="false" ht="15" hidden="false" customHeight="false" outlineLevel="0" collapsed="false">
      <c r="A15" s="68" t="s">
        <v>52</v>
      </c>
      <c r="B15" s="38" t="n">
        <v>6</v>
      </c>
      <c r="C15" s="37" t="n">
        <f aca="false">B15/60*$B$9</f>
        <v>140</v>
      </c>
      <c r="D15" s="37" t="n">
        <f aca="false">$B$8</f>
        <v>116.6625</v>
      </c>
      <c r="E15" s="37" t="n">
        <f aca="false">$B$10+$B$11</f>
        <v>33</v>
      </c>
      <c r="F15" s="42" t="n">
        <f aca="false">C15+D15+E15</f>
        <v>289.6625</v>
      </c>
      <c r="G15" s="38" t="n">
        <v>250</v>
      </c>
      <c r="H15" s="38" t="n">
        <v>650</v>
      </c>
      <c r="I15" s="38" t="n">
        <v>1800</v>
      </c>
      <c r="J15" s="69" t="n">
        <f aca="false">H15-F15</f>
        <v>360.3375</v>
      </c>
      <c r="K15" s="40" t="n">
        <f aca="false">IFERROR((H15-F15)/F15,0)</f>
        <v>1.24399085142191</v>
      </c>
    </row>
    <row r="16" customFormat="false" ht="15" hidden="false" customHeight="false" outlineLevel="0" collapsed="false">
      <c r="A16" s="68" t="s">
        <v>56</v>
      </c>
      <c r="B16" s="38" t="n">
        <v>6</v>
      </c>
      <c r="C16" s="37" t="n">
        <f aca="false">B16/60*$B$9</f>
        <v>140</v>
      </c>
      <c r="D16" s="37" t="n">
        <f aca="false">$B$8</f>
        <v>116.6625</v>
      </c>
      <c r="E16" s="37" t="n">
        <f aca="false">$B$10+$B$11</f>
        <v>33</v>
      </c>
      <c r="F16" s="42" t="n">
        <f aca="false">C16+D16+E16</f>
        <v>289.6625</v>
      </c>
      <c r="G16" s="38" t="n">
        <v>250</v>
      </c>
      <c r="H16" s="38" t="n">
        <v>650</v>
      </c>
      <c r="I16" s="38" t="n">
        <v>1800</v>
      </c>
      <c r="J16" s="69" t="n">
        <f aca="false">H16-F16</f>
        <v>360.3375</v>
      </c>
      <c r="K16" s="40" t="n">
        <f aca="false">IFERROR((H16-F16)/F16,0)</f>
        <v>1.24399085142191</v>
      </c>
    </row>
    <row r="17" customFormat="false" ht="15" hidden="false" customHeight="false" outlineLevel="0" collapsed="false">
      <c r="A17" s="68" t="s">
        <v>58</v>
      </c>
      <c r="B17" s="38" t="n">
        <v>7</v>
      </c>
      <c r="C17" s="37" t="n">
        <f aca="false">B17/60*$B$9</f>
        <v>163.333333333333</v>
      </c>
      <c r="D17" s="37" t="n">
        <f aca="false">$B$8</f>
        <v>116.6625</v>
      </c>
      <c r="E17" s="37" t="n">
        <f aca="false">$B$10+$B$11</f>
        <v>33</v>
      </c>
      <c r="F17" s="42" t="n">
        <f aca="false">C17+D17+E17</f>
        <v>312.995833333333</v>
      </c>
      <c r="G17" s="38" t="n">
        <v>250</v>
      </c>
      <c r="H17" s="38" t="n">
        <v>650</v>
      </c>
      <c r="I17" s="38" t="n">
        <v>1800</v>
      </c>
      <c r="J17" s="69" t="n">
        <f aca="false">H17-F17</f>
        <v>337.004166666667</v>
      </c>
      <c r="K17" s="40" t="n">
        <f aca="false">IFERROR((H17-F17)/F17,0)</f>
        <v>1.07670496146115</v>
      </c>
    </row>
    <row r="18" customFormat="false" ht="15" hidden="false" customHeight="false" outlineLevel="0" collapsed="false">
      <c r="A18" s="68" t="s">
        <v>64</v>
      </c>
      <c r="B18" s="38" t="n">
        <v>8</v>
      </c>
      <c r="C18" s="37" t="n">
        <f aca="false">B18/60*$B$9</f>
        <v>186.666666666667</v>
      </c>
      <c r="D18" s="37" t="n">
        <f aca="false">$B$8</f>
        <v>116.6625</v>
      </c>
      <c r="E18" s="37" t="n">
        <f aca="false">$B$10+$B$11</f>
        <v>33</v>
      </c>
      <c r="F18" s="42" t="n">
        <f aca="false">C18+D18+E18</f>
        <v>336.329166666667</v>
      </c>
      <c r="G18" s="38" t="n">
        <v>280</v>
      </c>
      <c r="H18" s="38" t="n">
        <v>700</v>
      </c>
      <c r="I18" s="38" t="n">
        <v>1900</v>
      </c>
      <c r="J18" s="69" t="n">
        <f aca="false">H18-F18</f>
        <v>363.670833333333</v>
      </c>
      <c r="K18" s="40" t="n">
        <f aca="false">IFERROR((H18-F18)/F18,0)</f>
        <v>1.08129436687769</v>
      </c>
    </row>
    <row r="19" customFormat="false" ht="15" hidden="false" customHeight="false" outlineLevel="0" collapsed="false">
      <c r="A19" s="68" t="s">
        <v>66</v>
      </c>
      <c r="B19" s="38" t="n">
        <v>9</v>
      </c>
      <c r="C19" s="37" t="n">
        <f aca="false">B19/60*$B$9</f>
        <v>210</v>
      </c>
      <c r="D19" s="37" t="n">
        <f aca="false">$B$8</f>
        <v>116.6625</v>
      </c>
      <c r="E19" s="37" t="n">
        <f aca="false">$B$10+$B$11</f>
        <v>33</v>
      </c>
      <c r="F19" s="42" t="n">
        <f aca="false">C19+D19+E19</f>
        <v>359.6625</v>
      </c>
      <c r="G19" s="38" t="n">
        <v>380</v>
      </c>
      <c r="H19" s="38" t="n">
        <v>850</v>
      </c>
      <c r="I19" s="38" t="n">
        <v>2200</v>
      </c>
      <c r="J19" s="69" t="n">
        <f aca="false">H19-F19</f>
        <v>490.3375</v>
      </c>
      <c r="K19" s="40" t="n">
        <f aca="false">IFERROR((H19-F19)/F19,0)</f>
        <v>1.36332672992041</v>
      </c>
    </row>
    <row r="20" customFormat="false" ht="15" hidden="false" customHeight="false" outlineLevel="0" collapsed="false">
      <c r="A20" s="68" t="s">
        <v>68</v>
      </c>
      <c r="B20" s="38" t="n">
        <v>10</v>
      </c>
      <c r="C20" s="37" t="n">
        <f aca="false">B20/60*$B$9</f>
        <v>233.333333333333</v>
      </c>
      <c r="D20" s="37" t="n">
        <f aca="false">$B$8</f>
        <v>116.6625</v>
      </c>
      <c r="E20" s="37" t="n">
        <f aca="false">$B$10+$B$11</f>
        <v>33</v>
      </c>
      <c r="F20" s="42" t="n">
        <f aca="false">C20+D20+E20</f>
        <v>382.995833333333</v>
      </c>
      <c r="G20" s="38" t="n">
        <v>450</v>
      </c>
      <c r="H20" s="38" t="n">
        <v>950</v>
      </c>
      <c r="I20" s="38" t="n">
        <v>2500</v>
      </c>
      <c r="J20" s="69" t="n">
        <f aca="false">H20-F20</f>
        <v>567.004166666667</v>
      </c>
      <c r="K20" s="40" t="n">
        <f aca="false">IFERROR((H20-F20)/F20,0)</f>
        <v>1.48044473939012</v>
      </c>
    </row>
    <row r="21" customFormat="false" ht="15" hidden="false" customHeight="false" outlineLevel="0" collapsed="false">
      <c r="A21" s="68" t="s">
        <v>70</v>
      </c>
      <c r="B21" s="38" t="n">
        <v>13</v>
      </c>
      <c r="C21" s="37" t="n">
        <f aca="false">B21/60*$B$9</f>
        <v>303.333333333333</v>
      </c>
      <c r="D21" s="37" t="n">
        <f aca="false">$B$8</f>
        <v>116.6625</v>
      </c>
      <c r="E21" s="37" t="n">
        <f aca="false">$B$10+$B$11</f>
        <v>33</v>
      </c>
      <c r="F21" s="42" t="n">
        <f aca="false">C21+D21+E21</f>
        <v>452.995833333333</v>
      </c>
      <c r="G21" s="38" t="n">
        <v>650</v>
      </c>
      <c r="H21" s="38" t="n">
        <v>1350</v>
      </c>
      <c r="I21" s="38" t="n">
        <v>3500</v>
      </c>
      <c r="J21" s="69" t="n">
        <f aca="false">H21-F21</f>
        <v>897.004166666667</v>
      </c>
      <c r="K21" s="40" t="n">
        <f aca="false">IFERROR((H21-F21)/F21,0)</f>
        <v>1.98015986166171</v>
      </c>
    </row>
    <row r="22" customFormat="false" ht="15" hidden="false" customHeight="false" outlineLevel="0" collapsed="false">
      <c r="A22" s="68" t="s">
        <v>72</v>
      </c>
      <c r="B22" s="38" t="n">
        <v>16</v>
      </c>
      <c r="C22" s="37" t="n">
        <f aca="false">B22/60*$B$9</f>
        <v>373.333333333333</v>
      </c>
      <c r="D22" s="37" t="n">
        <f aca="false">$B$8</f>
        <v>116.6625</v>
      </c>
      <c r="E22" s="37" t="n">
        <f aca="false">$B$10+$B$11</f>
        <v>33</v>
      </c>
      <c r="F22" s="42" t="n">
        <f aca="false">C22+D22+E22</f>
        <v>522.995833333333</v>
      </c>
      <c r="G22" s="38" t="n">
        <v>900</v>
      </c>
      <c r="H22" s="38" t="n">
        <v>1800</v>
      </c>
      <c r="I22" s="38" t="n">
        <v>4500</v>
      </c>
      <c r="J22" s="69" t="n">
        <f aca="false">H22-F22</f>
        <v>1277.00416666667</v>
      </c>
      <c r="K22" s="40" t="n">
        <f aca="false">IFERROR((H22-F22)/F22,0)</f>
        <v>2.44171001999697</v>
      </c>
    </row>
    <row r="24" customFormat="false" ht="15" hidden="false" customHeight="true" outlineLevel="0" collapsed="false">
      <c r="A24" s="46" t="s">
        <v>358</v>
      </c>
      <c r="B24" s="46"/>
      <c r="C24" s="46"/>
      <c r="D24" s="46"/>
      <c r="E24" s="46"/>
      <c r="F24" s="46"/>
      <c r="G24" s="46"/>
      <c r="H24" s="46"/>
      <c r="I24" s="46"/>
      <c r="J24" s="46"/>
      <c r="K24" s="46"/>
    </row>
    <row r="25" customFormat="false" ht="25.5" hidden="false" customHeight="true" outlineLevel="0" collapsed="false">
      <c r="A25" s="27" t="s">
        <v>359</v>
      </c>
      <c r="B25" s="27"/>
      <c r="C25" s="27"/>
      <c r="D25" s="27"/>
      <c r="E25" s="27"/>
      <c r="F25" s="27"/>
      <c r="G25" s="27"/>
      <c r="H25" s="27"/>
      <c r="I25" s="27"/>
      <c r="J25" s="27"/>
      <c r="K25" s="27"/>
    </row>
    <row r="26" customFormat="false" ht="25.5" hidden="false" customHeight="true" outlineLevel="0" collapsed="false">
      <c r="A26" s="27" t="s">
        <v>360</v>
      </c>
      <c r="B26" s="27"/>
      <c r="C26" s="27"/>
      <c r="D26" s="27"/>
      <c r="E26" s="27"/>
      <c r="F26" s="27"/>
      <c r="G26" s="27"/>
      <c r="H26" s="27"/>
      <c r="I26" s="27"/>
      <c r="J26" s="27"/>
      <c r="K26" s="27"/>
    </row>
    <row r="27" customFormat="false" ht="25.5" hidden="false" customHeight="true" outlineLevel="0" collapsed="false">
      <c r="A27" s="27" t="s">
        <v>361</v>
      </c>
      <c r="B27" s="27"/>
      <c r="C27" s="27"/>
      <c r="D27" s="27"/>
      <c r="E27" s="27"/>
      <c r="F27" s="27"/>
      <c r="G27" s="27"/>
      <c r="H27" s="27"/>
      <c r="I27" s="27"/>
      <c r="J27" s="27"/>
      <c r="K27" s="27"/>
    </row>
    <row r="28" customFormat="false" ht="25.5" hidden="false" customHeight="true" outlineLevel="0" collapsed="false">
      <c r="A28" s="27" t="s">
        <v>362</v>
      </c>
      <c r="B28" s="27"/>
      <c r="C28" s="27"/>
      <c r="D28" s="27"/>
      <c r="E28" s="27"/>
      <c r="F28" s="27"/>
      <c r="G28" s="27"/>
      <c r="H28" s="27"/>
      <c r="I28" s="27"/>
      <c r="J28" s="27"/>
      <c r="K28" s="27"/>
    </row>
    <row r="29" customFormat="false" ht="25.5" hidden="false" customHeight="true" outlineLevel="0" collapsed="false">
      <c r="A29" s="27" t="s">
        <v>363</v>
      </c>
      <c r="B29" s="27"/>
      <c r="C29" s="27"/>
      <c r="D29" s="27"/>
      <c r="E29" s="27"/>
      <c r="F29" s="27"/>
      <c r="G29" s="27"/>
      <c r="H29" s="27"/>
      <c r="I29" s="27"/>
      <c r="J29" s="27"/>
      <c r="K29" s="27"/>
    </row>
    <row r="30" customFormat="false" ht="25.5" hidden="false" customHeight="true" outlineLevel="0" collapsed="false">
      <c r="A30" s="27" t="s">
        <v>364</v>
      </c>
      <c r="B30" s="27"/>
      <c r="C30" s="27"/>
      <c r="D30" s="27"/>
      <c r="E30" s="27"/>
      <c r="F30" s="27"/>
      <c r="G30" s="27"/>
      <c r="H30" s="27"/>
      <c r="I30" s="27"/>
      <c r="J30" s="27"/>
      <c r="K30" s="27"/>
    </row>
  </sheetData>
  <mergeCells count="18">
    <mergeCell ref="A1:K1"/>
    <mergeCell ref="A2:K2"/>
    <mergeCell ref="A4:F4"/>
    <mergeCell ref="C5:F5"/>
    <mergeCell ref="C6:F6"/>
    <mergeCell ref="C7:F7"/>
    <mergeCell ref="C8:F8"/>
    <mergeCell ref="C9:F9"/>
    <mergeCell ref="C10:F10"/>
    <mergeCell ref="C11:F11"/>
    <mergeCell ref="A13:K13"/>
    <mergeCell ref="A24:K24"/>
    <mergeCell ref="A25:K25"/>
    <mergeCell ref="A26:K26"/>
    <mergeCell ref="A27:K27"/>
    <mergeCell ref="A28:K28"/>
    <mergeCell ref="A29:K29"/>
    <mergeCell ref="A30:K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40"/>
    <col collapsed="false" customWidth="true" hidden="false" outlineLevel="0" max="4" min="4" style="0" width="11"/>
    <col collapsed="false" customWidth="true" hidden="false" outlineLevel="0" max="6" min="5" style="0" width="7"/>
    <col collapsed="false" customWidth="true" hidden="false" outlineLevel="0" max="7" min="7" style="0" width="13"/>
    <col collapsed="false" customWidth="true" hidden="false" outlineLevel="0" max="8" min="8" style="0" width="22"/>
  </cols>
  <sheetData>
    <row r="1" customFormat="false" ht="25.5" hidden="false" customHeight="true" outlineLevel="0" collapsed="false">
      <c r="A1" s="28" t="s">
        <v>365</v>
      </c>
      <c r="B1" s="28"/>
      <c r="C1" s="28"/>
      <c r="D1" s="28"/>
      <c r="E1" s="28"/>
      <c r="F1" s="28"/>
      <c r="G1" s="28"/>
      <c r="H1" s="28"/>
    </row>
    <row r="2" customFormat="false" ht="25.5" hidden="false" customHeight="true" outlineLevel="0" collapsed="false">
      <c r="A2" s="29" t="s">
        <v>366</v>
      </c>
      <c r="B2" s="29"/>
      <c r="C2" s="29"/>
      <c r="D2" s="29"/>
      <c r="E2" s="29"/>
      <c r="F2" s="29"/>
      <c r="G2" s="29"/>
      <c r="H2" s="29"/>
    </row>
    <row r="4" customFormat="false" ht="15" hidden="false" customHeight="false" outlineLevel="0" collapsed="false">
      <c r="A4" s="8" t="s">
        <v>22</v>
      </c>
      <c r="B4" s="8" t="s">
        <v>41</v>
      </c>
      <c r="C4" s="8" t="s">
        <v>42</v>
      </c>
      <c r="D4" s="8" t="s">
        <v>43</v>
      </c>
      <c r="E4" s="8" t="s">
        <v>44</v>
      </c>
      <c r="F4" s="8" t="s">
        <v>45</v>
      </c>
      <c r="G4" s="8" t="s">
        <v>367</v>
      </c>
      <c r="H4" s="8" t="s">
        <v>368</v>
      </c>
    </row>
    <row r="5" customFormat="false" ht="15" hidden="false" customHeight="false" outlineLevel="0" collapsed="false">
      <c r="A5" s="70" t="n">
        <v>39</v>
      </c>
      <c r="B5" s="70" t="s">
        <v>139</v>
      </c>
      <c r="C5" s="31" t="s">
        <v>140</v>
      </c>
      <c r="D5" s="70" t="s">
        <v>141</v>
      </c>
      <c r="E5" s="70" t="n">
        <v>50</v>
      </c>
      <c r="F5" s="70" t="s">
        <v>83</v>
      </c>
      <c r="G5" s="10" t="n">
        <f aca="false">828/925*E5</f>
        <v>44.7567567567568</v>
      </c>
      <c r="H5" s="71" t="s">
        <v>369</v>
      </c>
    </row>
    <row r="6" customFormat="false" ht="15" hidden="false" customHeight="false" outlineLevel="0" collapsed="false">
      <c r="A6" s="70" t="n">
        <v>40</v>
      </c>
      <c r="B6" s="70" t="s">
        <v>143</v>
      </c>
      <c r="C6" s="31" t="s">
        <v>144</v>
      </c>
      <c r="D6" s="70" t="s">
        <v>145</v>
      </c>
      <c r="E6" s="70" t="n">
        <v>25</v>
      </c>
      <c r="F6" s="70" t="s">
        <v>83</v>
      </c>
      <c r="G6" s="10" t="n">
        <f aca="false">828/925*E6</f>
        <v>22.3783783783784</v>
      </c>
      <c r="H6" s="71" t="s">
        <v>369</v>
      </c>
    </row>
    <row r="7" customFormat="false" ht="15" hidden="false" customHeight="false" outlineLevel="0" collapsed="false">
      <c r="A7" s="70" t="n">
        <v>41</v>
      </c>
      <c r="B7" s="70" t="s">
        <v>147</v>
      </c>
      <c r="C7" s="31" t="s">
        <v>148</v>
      </c>
      <c r="D7" s="70" t="s">
        <v>119</v>
      </c>
      <c r="E7" s="70" t="n">
        <v>50</v>
      </c>
      <c r="F7" s="70" t="s">
        <v>83</v>
      </c>
      <c r="G7" s="10" t="n">
        <f aca="false">828/925*E7</f>
        <v>44.7567567567568</v>
      </c>
      <c r="H7" s="71" t="s">
        <v>369</v>
      </c>
    </row>
    <row r="8" customFormat="false" ht="15" hidden="false" customHeight="false" outlineLevel="0" collapsed="false">
      <c r="A8" s="70" t="n">
        <v>42</v>
      </c>
      <c r="B8" s="70" t="s">
        <v>149</v>
      </c>
      <c r="C8" s="31" t="s">
        <v>150</v>
      </c>
      <c r="D8" s="70" t="s">
        <v>123</v>
      </c>
      <c r="E8" s="70" t="n">
        <v>50</v>
      </c>
      <c r="F8" s="70" t="s">
        <v>83</v>
      </c>
      <c r="G8" s="10" t="n">
        <f aca="false">828/925*E8</f>
        <v>44.7567567567568</v>
      </c>
      <c r="H8" s="71" t="s">
        <v>369</v>
      </c>
    </row>
    <row r="9" customFormat="false" ht="15" hidden="false" customHeight="false" outlineLevel="0" collapsed="false">
      <c r="A9" s="70" t="n">
        <v>43</v>
      </c>
      <c r="B9" s="70" t="s">
        <v>151</v>
      </c>
      <c r="C9" s="31" t="s">
        <v>152</v>
      </c>
      <c r="D9" s="70" t="s">
        <v>130</v>
      </c>
      <c r="E9" s="70" t="n">
        <v>50</v>
      </c>
      <c r="F9" s="70" t="s">
        <v>83</v>
      </c>
      <c r="G9" s="10" t="n">
        <f aca="false">828/925*E9</f>
        <v>44.7567567567568</v>
      </c>
      <c r="H9" s="71" t="s">
        <v>369</v>
      </c>
    </row>
    <row r="10" customFormat="false" ht="15" hidden="false" customHeight="false" outlineLevel="0" collapsed="false">
      <c r="A10" s="70" t="n">
        <v>44</v>
      </c>
      <c r="B10" s="70" t="s">
        <v>154</v>
      </c>
      <c r="C10" s="31" t="s">
        <v>155</v>
      </c>
      <c r="D10" s="70" t="s">
        <v>119</v>
      </c>
      <c r="E10" s="70" t="n">
        <v>50</v>
      </c>
      <c r="F10" s="70" t="s">
        <v>83</v>
      </c>
      <c r="G10" s="10" t="n">
        <f aca="false">828/925*E10</f>
        <v>44.7567567567568</v>
      </c>
      <c r="H10" s="71" t="s">
        <v>369</v>
      </c>
    </row>
    <row r="11" customFormat="false" ht="22.35" hidden="false" customHeight="false" outlineLevel="0" collapsed="false">
      <c r="A11" s="70" t="n">
        <v>84</v>
      </c>
      <c r="B11" s="70" t="s">
        <v>248</v>
      </c>
      <c r="C11" s="31" t="s">
        <v>249</v>
      </c>
      <c r="D11" s="70" t="s">
        <v>250</v>
      </c>
      <c r="E11" s="70" t="n">
        <v>1</v>
      </c>
      <c r="F11" s="70" t="s">
        <v>251</v>
      </c>
      <c r="G11" s="72" t="n">
        <v>1700</v>
      </c>
      <c r="H11" s="73" t="s">
        <v>370</v>
      </c>
    </row>
    <row r="12" customFormat="false" ht="15" hidden="false" customHeight="false" outlineLevel="0" collapsed="false">
      <c r="A12" s="17"/>
      <c r="B12" s="17"/>
      <c r="C12" s="14" t="s">
        <v>371</v>
      </c>
      <c r="D12" s="17"/>
      <c r="E12" s="17"/>
      <c r="F12" s="17"/>
      <c r="G12" s="15" t="n">
        <f aca="false">SUM(G5:G11)</f>
        <v>1946.16216216216</v>
      </c>
      <c r="H12" s="74" t="s">
        <v>9</v>
      </c>
    </row>
    <row r="13" customFormat="false" ht="15" hidden="false" customHeight="false" outlineLevel="0" collapsed="false">
      <c r="C13" s="75" t="s">
        <v>372</v>
      </c>
      <c r="G13" s="76" t="n">
        <f aca="false">G12*Summary!$C$5*Summary!$C$6</f>
        <v>747910.118918919</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2026-07-11T10:18:44Z</dcterms:created>
  <dc:creator>openpyxl</dc:creator>
  <dc:description/>
  <dc:language>en-US</dc:language>
  <cp:lastModifiedBy/>
  <dcterms:modified xsi:type="dcterms:W3CDTF">2026-07-11T10:18:44Z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