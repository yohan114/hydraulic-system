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tores\"/>
    </mc:Choice>
  </mc:AlternateContent>
  <xr:revisionPtr revIDLastSave="0" documentId="13_ncr:1_{A9B4EA1B-2288-4D22-92F6-625A1E3F12BE}" xr6:coauthVersionLast="47" xr6:coauthVersionMax="47" xr10:uidLastSave="{00000000-0000-0000-0000-000000000000}"/>
  <bookViews>
    <workbookView xWindow="-108" yWindow="-108" windowWidth="23256" windowHeight="12456" xr2:uid="{CBCCC460-3115-43C5-AEC3-8F39288A1AB8}"/>
  </bookViews>
  <sheets>
    <sheet name="Sheet1" sheetId="1" r:id="rId1"/>
  </sheets>
  <definedNames>
    <definedName name="_xlnm.Print_Area" localSheetId="0">Sheet1!$A$2:$L$83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</calcChain>
</file>

<file path=xl/sharedStrings.xml><?xml version="1.0" encoding="utf-8"?>
<sst xmlns="http://schemas.openxmlformats.org/spreadsheetml/2006/main" count="172" uniqueCount="82">
  <si>
    <t>No</t>
  </si>
  <si>
    <t>Name</t>
  </si>
  <si>
    <t>Specification Code</t>
  </si>
  <si>
    <t>Pcs</t>
  </si>
  <si>
    <t>Number</t>
  </si>
  <si>
    <t>Unit</t>
  </si>
  <si>
    <t>Rubber pipe</t>
  </si>
  <si>
    <t>R1 Fabric coverd hydraulic hose</t>
  </si>
  <si>
    <t>R2 Fabric coverd hydraulic hose</t>
  </si>
  <si>
    <t>4SP Fabric coverd hydraulic hose</t>
  </si>
  <si>
    <t>4SH Fabric coverd hydraulic hose</t>
  </si>
  <si>
    <t>m</t>
  </si>
  <si>
    <t>22692-20-20</t>
  </si>
  <si>
    <t>87391-12-12</t>
  </si>
  <si>
    <t>22692-16-16</t>
  </si>
  <si>
    <t>22691-08-08</t>
  </si>
  <si>
    <t>22611-04-04</t>
  </si>
  <si>
    <t>00210-16</t>
  </si>
  <si>
    <t>00210-12</t>
  </si>
  <si>
    <t>00210-08</t>
  </si>
  <si>
    <t>00110-04</t>
  </si>
  <si>
    <t>00110-05</t>
  </si>
  <si>
    <t>00210-06</t>
  </si>
  <si>
    <t>00110-06</t>
  </si>
  <si>
    <t>87391-16-16</t>
  </si>
  <si>
    <t>20011-22-04</t>
  </si>
  <si>
    <t>22612-12-12</t>
  </si>
  <si>
    <t>20011-22-06</t>
  </si>
  <si>
    <t>22611-06-04</t>
  </si>
  <si>
    <t>22692-04-04</t>
  </si>
  <si>
    <t>22612-16-16</t>
  </si>
  <si>
    <t>22691-06-06</t>
  </si>
  <si>
    <t>00210-05</t>
  </si>
  <si>
    <t>00400-16</t>
  </si>
  <si>
    <t>00400-10</t>
  </si>
  <si>
    <t>00210-04</t>
  </si>
  <si>
    <t>00210-20</t>
  </si>
  <si>
    <t>00210-10</t>
  </si>
  <si>
    <t>22611-12-12</t>
  </si>
  <si>
    <t>10011N-06</t>
  </si>
  <si>
    <t>10011N-08</t>
  </si>
  <si>
    <t>10011N-20</t>
  </si>
  <si>
    <t>22611-08-08</t>
  </si>
  <si>
    <t>22611-06-08</t>
  </si>
  <si>
    <t>22611-08-06</t>
  </si>
  <si>
    <t>22611-06-06</t>
  </si>
  <si>
    <t>10011N-04</t>
  </si>
  <si>
    <t>10011N-05</t>
  </si>
  <si>
    <t>FL-20</t>
  </si>
  <si>
    <t>22692-12-12</t>
  </si>
  <si>
    <t>FL-16</t>
  </si>
  <si>
    <t>FL-12</t>
  </si>
  <si>
    <t>90011-08</t>
  </si>
  <si>
    <t>90011-10</t>
  </si>
  <si>
    <t>22612-10-10</t>
  </si>
  <si>
    <t>22692-10-10</t>
  </si>
  <si>
    <t>72011-04-04</t>
  </si>
  <si>
    <t>72011-04-05</t>
  </si>
  <si>
    <t>72011-06-06</t>
  </si>
  <si>
    <t>72011-08-08</t>
  </si>
  <si>
    <t>90011-04</t>
  </si>
  <si>
    <t>90011-06</t>
  </si>
  <si>
    <t>10011N-12</t>
  </si>
  <si>
    <t>10011N-16</t>
  </si>
  <si>
    <t>Product Name</t>
  </si>
  <si>
    <t>Size (in)</t>
  </si>
  <si>
    <t>Description</t>
  </si>
  <si>
    <t>Length</t>
  </si>
  <si>
    <t>22611D-20-20</t>
  </si>
  <si>
    <t>22611D-16-16</t>
  </si>
  <si>
    <t>22611D-12-12</t>
  </si>
  <si>
    <t>Issued by / Main Stores</t>
  </si>
  <si>
    <t>Signature</t>
  </si>
  <si>
    <t>Date</t>
  </si>
  <si>
    <t>Topic: Hydraulic Hose Crimping Machine Works</t>
  </si>
  <si>
    <t>Material issue / transfer record for hydraulic hose crimping machine work</t>
  </si>
  <si>
    <t>SIGNATURES — MAIN STORES TO HYDRAULIC HOSE CRIMPING MACHINE WORKS</t>
  </si>
  <si>
    <t>Authorized by / Workshop Supervisor</t>
  </si>
  <si>
    <t>Received by / Hose Crimping Operator</t>
  </si>
  <si>
    <t>Name &amp; Designation</t>
  </si>
  <si>
    <t>1 Pcs Price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</si>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</sst>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mm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sz val="11"/>
      <color rgb="FF000000"/>
      <name val="Aptos"/>
    </font>
    <font>
      <b/>
      <sz val="11"/>
      <color rgb="FFFFFFFF"/>
      <name val="Aptos"/>
    </font>
    <font>
      <b/>
      <sz val="11"/>
      <color rgb="FF000000"/>
      <name val="Aptos"/>
    </font>
    <font>
      <b/>
      <sz val="14"/>
      <color rgb="FFFFFFFF"/>
      <name val="Aptos Narrow"/>
      <family val="2"/>
      <scheme val="minor"/>
    </font>
    <font>
      <i/>
      <sz val="11"/>
      <color rgb="FF222222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2" fontId="0" fillId="0" borderId="0" xfId="0" applyNumberFormat="1"/>
    <xf numFmtId="13" fontId="1" fillId="0" borderId="0" xfId="0" applyNumberFormat="1" applyFont="1" applyAlignment="1">
      <alignment horizontal="center"/>
    </xf>
    <xf numFmtId="13" fontId="2" fillId="2" borderId="0" xfId="0" applyNumberFormat="1" applyFont="1" applyFill="1" applyAlignment="1">
      <alignment horizontal="center" wrapText="1"/>
    </xf>
    <xf numFmtId="13" fontId="1" fillId="0" borderId="0" xfId="0" applyNumberFormat="1" applyFont="1" applyAlignment="1">
      <alignment horizontal="left" wrapText="1"/>
    </xf>
    <xf numFmtId="13" fontId="0" fillId="0" borderId="0" xfId="0" applyNumberFormat="1" applyAlignment="1">
      <alignment wrapText="1"/>
    </xf>
    <xf numFmtId="0" fontId="7" fillId="0" borderId="0" xfId="0" applyFont="1" applyAlignment="1">
      <alignment horizont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13" fontId="6" fillId="4" borderId="0" xfId="0" applyNumberFormat="1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13" fontId="7" fillId="0" borderId="0" xfId="0" applyNumberFormat="1" applyFont="1" applyAlignment="1">
      <alignment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3" fontId="4" fillId="4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3" fontId="3" fillId="0" borderId="1" xfId="0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sz val="11"/>
        <name val="Aptos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z val="11"/>
        <name val="Aptos"/>
      </font>
      <alignment horizontal="center"/>
    </dxf>
    <dxf>
      <font>
        <sz val="11"/>
        <name val="Aptos"/>
      </font>
      <alignment horizontal="center"/>
    </dxf>
    <dxf>
      <font>
        <sz val="11"/>
        <name val="Aptos"/>
      </font>
      <alignment horizontal="center"/>
    </dxf>
    <dxf>
      <font>
        <sz val="11"/>
        <name val="Aptos"/>
      </font>
      <numFmt numFmtId="18" formatCode="#\ ??/??"/>
      <alignment horizontal="left" wrapText="1"/>
    </dxf>
    <dxf>
      <font>
        <sz val="11"/>
        <name val="Aptos"/>
      </font>
      <alignment horizontal="center"/>
    </dxf>
    <dxf>
      <font>
        <sz val="11"/>
        <name val="Aptos"/>
      </font>
      <alignment horizontal="center"/>
    </dxf>
    <dxf>
      <font>
        <sz val="11"/>
        <name val="Aptos"/>
      </font>
      <alignment horizontal="left" wrapText="1"/>
    </dxf>
    <dxf>
      <font>
        <sz val="11"/>
        <name val="Aptos"/>
      </font>
      <alignment horizontal="left"/>
    </dxf>
    <dxf>
      <font>
        <sz val="11"/>
        <name val="Aptos"/>
      </font>
      <alignment horizontal="center"/>
    </dxf>
    <dxf>
      <font>
        <sz val="11"/>
        <name val="Aptos"/>
      </font>
      <alignment horizontal="left"/>
    </dxf>
    <dxf>
      <font>
        <b/>
        <sz val="11"/>
        <color rgb="FFFFFFFF"/>
        <name val="Aptos"/>
      </font>
      <fill>
        <patternFill patternType="solid">
          <fgColor indexed="64"/>
          <bgColor rgb="FF4472C4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9B8D4-331C-4B4A-8861-78EE3CE5E915}" name="Product_List" displayName="Product_List" ref="B3:L74" totalsRowShown="0" headerRowDxfId="12" dataDxfId="11">
  <autoFilter ref="B3:L74" xr:uid="{8C49B8D4-331C-4B4A-8861-78EE3CE5E915}"/>
  <tableColumns count="11">
    <tableColumn id="1" xr3:uid="{A827F6B4-B37F-422D-8AF9-C3BBBD6374E7}" name="No" dataDxfId="10"/>
    <tableColumn id="2" xr3:uid="{00AC6893-3D0F-416A-B9BF-EAC1521D54DD}" name="Name" dataDxfId="9"/>
    <tableColumn id="3" xr3:uid="{31E0F27E-749C-4FFE-8F15-DC345EB9266B}" name="Product Name" dataDxfId="8"/>
    <tableColumn id="4" xr3:uid="{B52ECC5F-1B16-4B05-9548-1A85B21BC38D}" name="Specification Code" dataDxfId="7"/>
    <tableColumn id="5" xr3:uid="{BAF62875-2A47-47F4-91CA-41D6732AC085}" name="Size (in)" dataDxfId="6"/>
    <tableColumn id="6" xr3:uid="{48F30CF5-0D89-4CE9-9019-6E9AD4FB80F6}" name="Description" dataDxfId="5"/>
    <tableColumn id="7" xr3:uid="{030200B7-1389-4C02-9B92-268667D66825}" name="Length" dataDxfId="4"/>
    <tableColumn id="8" xr3:uid="{1F0A42AD-CDE6-48FC-8856-5757DEA69FBC}" name="Pcs" dataDxfId="3"/>
    <tableColumn id="9" xr3:uid="{876BEC92-8B91-4B8B-9B16-927220B7DB28}" name="Number" dataDxfId="2"/>
    <tableColumn id="11" xr3:uid="{D1EB4793-FA81-4ACE-B041-64FA2A5A1987}" name="Unit" dataDxfId="1"/>
    <tableColumn id="10" xr3:uid="{1A6C1910-89E6-436D-9B2E-B703632EA412}" name="1 Pcs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646BAF-F390-4383-B8C3-B319AE76F656}">
  <we:reference id="wa200010215" version="1.0.0.0" store="en-US" storeType="OMEX"/>
  <we:alternateReferences>
    <we:reference id="wa200010215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2F6D-D8AE-4EB1-AC55-2BC0A926D90A}">
  <sheetPr codeName="Sheet1"/>
  <dimension ref="B1:P82"/>
  <sheetViews>
    <sheetView tabSelected="1" topLeftCell="B1" zoomScale="70" zoomScaleNormal="70" zoomScaleSheetLayoutView="40" workbookViewId="0">
      <selection activeCell="G16" sqref="G16"/>
    </sheetView>
  </sheetViews>
  <sheetFormatPr defaultRowHeight="14.4" x14ac:dyDescent="0.3"/>
  <cols>
    <col min="2" max="2" width="103.109375" style="1" bestFit="1" customWidth="1"/>
    <col min="3" max="3" width="15.33203125" bestFit="1" customWidth="1"/>
    <col min="4" max="4" width="25.109375" style="8" bestFit="1" customWidth="1"/>
    <col min="5" max="5" width="30.88671875" style="1" bestFit="1" customWidth="1"/>
    <col min="6" max="6" width="45.44140625" style="1" bestFit="1" customWidth="1"/>
    <col min="7" max="7" width="22" style="13" bestFit="1" customWidth="1"/>
    <col min="8" max="8" width="17" style="1" bestFit="1" customWidth="1"/>
    <col min="9" max="9" width="46.21875" style="1" bestFit="1" customWidth="1"/>
    <col min="10" max="10" width="17.88671875" style="1" bestFit="1" customWidth="1"/>
    <col min="11" max="12" width="13.6640625" style="1" bestFit="1" customWidth="1"/>
  </cols>
  <sheetData>
    <row r="1" spans="2:16" ht="18" x14ac:dyDescent="0.3">
      <c r="B1" s="15" t="s">
        <v>74</v>
      </c>
      <c r="C1" s="15"/>
      <c r="D1" s="16"/>
      <c r="E1" s="15"/>
      <c r="F1" s="15"/>
      <c r="G1" s="17"/>
      <c r="H1" s="15"/>
      <c r="I1" s="15"/>
      <c r="J1" s="15"/>
      <c r="K1" s="15"/>
      <c r="L1" s="15"/>
    </row>
    <row r="2" spans="2:16" x14ac:dyDescent="0.3">
      <c r="B2" s="14" t="s">
        <v>75</v>
      </c>
      <c r="C2" s="18"/>
      <c r="D2" s="19"/>
      <c r="E2" s="14"/>
      <c r="F2" s="14"/>
      <c r="G2" s="20"/>
      <c r="H2" s="14"/>
      <c r="I2" s="14"/>
      <c r="J2" s="14"/>
      <c r="K2" s="14"/>
      <c r="L2" s="14"/>
    </row>
    <row r="3" spans="2:16" x14ac:dyDescent="0.3">
      <c r="B3" s="2" t="s">
        <v>0</v>
      </c>
      <c r="C3" s="2" t="s">
        <v>1</v>
      </c>
      <c r="D3" s="7" t="s">
        <v>64</v>
      </c>
      <c r="E3" s="2" t="s">
        <v>2</v>
      </c>
      <c r="F3" s="2" t="s">
        <v>65</v>
      </c>
      <c r="G3" s="11" t="s">
        <v>66</v>
      </c>
      <c r="H3" s="2" t="s">
        <v>67</v>
      </c>
      <c r="I3" s="2" t="s">
        <v>3</v>
      </c>
      <c r="J3" s="2" t="s">
        <v>4</v>
      </c>
      <c r="K3" s="2" t="s">
        <v>5</v>
      </c>
      <c r="L3" s="2" t="s">
        <v>80</v>
      </c>
    </row>
    <row r="4" spans="2:16" ht="28.8" x14ac:dyDescent="0.3">
      <c r="B4" s="5">
        <v>1</v>
      </c>
      <c r="C4" s="3" t="s">
        <v>6</v>
      </c>
      <c r="D4" s="4" t="s">
        <v>7</v>
      </c>
      <c r="E4" s="6">
        <v>6</v>
      </c>
      <c r="F4" s="10">
        <v>0.25</v>
      </c>
      <c r="G4" s="12" t="str">
        <f>"ID:" &amp; TEXT(Product_List[[#This Row],[Size (in)]], "# ??/??") &amp; """ " &amp; UPPER(Product_List[[#This Row],[Specification Code]])</f>
        <v>ID:  1/4 " 6</v>
      </c>
      <c r="H4" s="5">
        <v>100</v>
      </c>
      <c r="I4" s="5">
        <v>2</v>
      </c>
      <c r="J4" s="5">
        <v>200</v>
      </c>
      <c r="K4" s="5" t="s">
        <v>11</v>
      </c>
      <c r="L4" s="5">
        <v>405</v>
      </c>
    </row>
    <row r="5" spans="2:16" x14ac:dyDescent="0.3">
      <c r="B5" s="5">
        <v>2</v>
      </c>
      <c r="C5" s="3" t="s">
        <v>6</v>
      </c>
      <c r="D5" s="4"/>
      <c r="E5" s="6">
        <v>8</v>
      </c>
      <c r="F5" s="10">
        <v>0.3125</v>
      </c>
      <c r="G5" s="12" t="str">
        <f>"ID:" &amp; TEXT(Product_List[[#This Row],[Size (in)]], "# ??/??") &amp; """ " &amp; UPPER(Product_List[[#This Row],[Specification Code]])</f>
        <v>ID:  5/16" 8</v>
      </c>
      <c r="H5" s="5">
        <v>100</v>
      </c>
      <c r="I5" s="5">
        <v>2</v>
      </c>
      <c r="J5" s="5">
        <v>200</v>
      </c>
      <c r="K5" s="5" t="s">
        <v>11</v>
      </c>
      <c r="L5" s="5">
        <v>540</v>
      </c>
    </row>
    <row r="6" spans="2:16" x14ac:dyDescent="0.3">
      <c r="B6" s="5">
        <v>3</v>
      </c>
      <c r="C6" s="3" t="s">
        <v>6</v>
      </c>
      <c r="D6" s="4"/>
      <c r="E6" s="6">
        <v>10</v>
      </c>
      <c r="F6" s="10">
        <v>0.375</v>
      </c>
      <c r="G6" s="12" t="str">
        <f>"ID:" &amp; TEXT(Product_List[[#This Row],[Size (in)]], "# ??/??") &amp; """ " &amp; UPPER(Product_List[[#This Row],[Specification Code]])</f>
        <v>ID:  3/8 " 10</v>
      </c>
      <c r="H6" s="5">
        <v>100</v>
      </c>
      <c r="I6" s="5">
        <v>2</v>
      </c>
      <c r="J6" s="5">
        <v>200</v>
      </c>
      <c r="K6" s="5" t="s">
        <v>11</v>
      </c>
      <c r="L6" s="5">
        <v>675</v>
      </c>
      <c r="P6" s="9"/>
    </row>
    <row r="7" spans="2:16" ht="28.8" x14ac:dyDescent="0.3">
      <c r="B7" s="5">
        <v>4</v>
      </c>
      <c r="C7" s="3" t="s">
        <v>6</v>
      </c>
      <c r="D7" s="4" t="s">
        <v>8</v>
      </c>
      <c r="E7" s="6">
        <v>6</v>
      </c>
      <c r="F7" s="10">
        <v>0.25</v>
      </c>
      <c r="G7" s="12" t="str">
        <f>"ID:" &amp; TEXT(Product_List[[#This Row],[Size (in)]], "# ??/??") &amp; """ " &amp; UPPER(Product_List[[#This Row],[Specification Code]])</f>
        <v>ID:  1/4 " 6</v>
      </c>
      <c r="H7" s="5">
        <v>100</v>
      </c>
      <c r="I7" s="5">
        <v>2</v>
      </c>
      <c r="J7" s="5">
        <v>200</v>
      </c>
      <c r="K7" s="5" t="s">
        <v>11</v>
      </c>
      <c r="L7" s="5">
        <v>405</v>
      </c>
    </row>
    <row r="8" spans="2:16" x14ac:dyDescent="0.3">
      <c r="B8" s="5">
        <v>5</v>
      </c>
      <c r="C8" s="3" t="s">
        <v>6</v>
      </c>
      <c r="D8" s="4"/>
      <c r="E8" s="6">
        <v>8</v>
      </c>
      <c r="F8" s="10">
        <v>0.3125</v>
      </c>
      <c r="G8" s="12" t="str">
        <f>"ID:" &amp; TEXT(Product_List[[#This Row],[Size (in)]], "# ??/??") &amp; """ " &amp; UPPER(Product_List[[#This Row],[Specification Code]])</f>
        <v>ID:  5/16" 8</v>
      </c>
      <c r="H8" s="5">
        <v>100</v>
      </c>
      <c r="I8" s="5">
        <v>2</v>
      </c>
      <c r="J8" s="5">
        <v>200</v>
      </c>
      <c r="K8" s="5" t="s">
        <v>11</v>
      </c>
      <c r="L8" s="5">
        <v>540</v>
      </c>
    </row>
    <row r="9" spans="2:16" x14ac:dyDescent="0.3">
      <c r="B9" s="5">
        <v>6</v>
      </c>
      <c r="C9" s="3" t="s">
        <v>6</v>
      </c>
      <c r="D9" s="4"/>
      <c r="E9" s="6">
        <v>10</v>
      </c>
      <c r="F9" s="10">
        <v>0.375</v>
      </c>
      <c r="G9" s="12" t="str">
        <f>"ID:" &amp; TEXT(Product_List[[#This Row],[Size (in)]], "# ??/??") &amp; """ " &amp; UPPER(Product_List[[#This Row],[Specification Code]])</f>
        <v>ID:  3/8 " 10</v>
      </c>
      <c r="H9" s="5">
        <v>100</v>
      </c>
      <c r="I9" s="5">
        <v>2</v>
      </c>
      <c r="J9" s="5">
        <v>200</v>
      </c>
      <c r="K9" s="5" t="s">
        <v>11</v>
      </c>
      <c r="L9" s="5">
        <v>675</v>
      </c>
    </row>
    <row r="10" spans="2:16" x14ac:dyDescent="0.3">
      <c r="B10" s="5">
        <v>7</v>
      </c>
      <c r="C10" s="3" t="s">
        <v>6</v>
      </c>
      <c r="D10" s="4"/>
      <c r="E10" s="6">
        <v>13</v>
      </c>
      <c r="F10" s="10">
        <v>0.5</v>
      </c>
      <c r="G10" s="12" t="str">
        <f>"ID:" &amp; TEXT(Product_List[[#This Row],[Size (in)]], "# ??/??") &amp; """ " &amp; UPPER(Product_List[[#This Row],[Specification Code]])</f>
        <v>ID:  1/2 " 13</v>
      </c>
      <c r="H10" s="5">
        <v>100</v>
      </c>
      <c r="I10" s="5">
        <v>2</v>
      </c>
      <c r="J10" s="5">
        <v>200</v>
      </c>
      <c r="K10" s="5" t="s">
        <v>11</v>
      </c>
      <c r="L10" s="5">
        <v>855</v>
      </c>
    </row>
    <row r="11" spans="2:16" x14ac:dyDescent="0.3">
      <c r="B11" s="5">
        <v>8</v>
      </c>
      <c r="C11" s="3" t="s">
        <v>6</v>
      </c>
      <c r="D11" s="4"/>
      <c r="E11" s="6">
        <v>16</v>
      </c>
      <c r="F11" s="10">
        <v>0.625</v>
      </c>
      <c r="G11" s="12" t="str">
        <f>"ID:" &amp; TEXT(Product_List[[#This Row],[Size (in)]], "# ??/??") &amp; """ " &amp; UPPER(Product_List[[#This Row],[Specification Code]])</f>
        <v>ID:  5/8 " 16</v>
      </c>
      <c r="H11" s="5">
        <v>100</v>
      </c>
      <c r="I11" s="5">
        <v>2</v>
      </c>
      <c r="J11" s="5">
        <v>200</v>
      </c>
      <c r="K11" s="5" t="s">
        <v>11</v>
      </c>
      <c r="L11" s="5">
        <v>1035</v>
      </c>
    </row>
    <row r="12" spans="2:16" x14ac:dyDescent="0.3">
      <c r="B12" s="5">
        <v>9</v>
      </c>
      <c r="C12" s="3" t="s">
        <v>6</v>
      </c>
      <c r="D12" s="4"/>
      <c r="E12" s="6">
        <v>19</v>
      </c>
      <c r="F12" s="10">
        <v>0.75</v>
      </c>
      <c r="G12" s="12" t="str">
        <f>"ID:" &amp; TEXT(Product_List[[#This Row],[Size (in)]], "# ??/??") &amp; """ " &amp; UPPER(Product_List[[#This Row],[Specification Code]])</f>
        <v>ID:  3/4 " 19</v>
      </c>
      <c r="H12" s="5">
        <v>100</v>
      </c>
      <c r="I12" s="5">
        <v>2</v>
      </c>
      <c r="J12" s="5">
        <v>200</v>
      </c>
      <c r="K12" s="5" t="s">
        <v>11</v>
      </c>
      <c r="L12" s="5">
        <v>1260</v>
      </c>
    </row>
    <row r="13" spans="2:16" x14ac:dyDescent="0.3">
      <c r="B13" s="5">
        <v>10</v>
      </c>
      <c r="C13" s="3" t="s">
        <v>6</v>
      </c>
      <c r="D13" s="4"/>
      <c r="E13" s="6">
        <v>25</v>
      </c>
      <c r="F13" s="10">
        <v>1</v>
      </c>
      <c r="G13" s="12" t="str">
        <f>"ID:" &amp; TEXT(Product_List[[#This Row],[Size (in)]], "# ??/??") &amp; """ " &amp; UPPER(Product_List[[#This Row],[Specification Code]])</f>
        <v>ID:1      " 25</v>
      </c>
      <c r="H13" s="5">
        <v>100</v>
      </c>
      <c r="I13" s="5">
        <v>2</v>
      </c>
      <c r="J13" s="5">
        <v>200</v>
      </c>
      <c r="K13" s="5" t="s">
        <v>11</v>
      </c>
      <c r="L13" s="5">
        <v>1530</v>
      </c>
    </row>
    <row r="14" spans="2:16" x14ac:dyDescent="0.3">
      <c r="B14" s="5">
        <v>11</v>
      </c>
      <c r="C14" s="3" t="s">
        <v>6</v>
      </c>
      <c r="D14" s="4"/>
      <c r="E14" s="6">
        <v>32</v>
      </c>
      <c r="F14" s="10">
        <v>1.25</v>
      </c>
      <c r="G14" s="12" t="str">
        <f>"ID:" &amp; TEXT(Product_List[[#This Row],[Size (in)]], "# ??/??") &amp; """ " &amp; UPPER(Product_List[[#This Row],[Specification Code]])</f>
        <v>ID:1  1/4 " 32</v>
      </c>
      <c r="H14" s="5">
        <v>40</v>
      </c>
      <c r="I14" s="5">
        <v>3</v>
      </c>
      <c r="J14" s="5">
        <v>120</v>
      </c>
      <c r="K14" s="5" t="s">
        <v>11</v>
      </c>
      <c r="L14" s="5">
        <v>1800</v>
      </c>
    </row>
    <row r="15" spans="2:16" ht="28.8" x14ac:dyDescent="0.3">
      <c r="B15" s="5">
        <v>12</v>
      </c>
      <c r="C15" s="3" t="s">
        <v>6</v>
      </c>
      <c r="D15" s="4" t="s">
        <v>9</v>
      </c>
      <c r="E15" s="6">
        <v>16</v>
      </c>
      <c r="F15" s="10">
        <v>0.625</v>
      </c>
      <c r="G15" s="12" t="str">
        <f>"ID:" &amp; TEXT(Product_List[[#This Row],[Size (in)]], "# ??/??") &amp; """ " &amp; UPPER(Product_List[[#This Row],[Specification Code]])</f>
        <v>ID:  5/8 " 16</v>
      </c>
      <c r="H15" s="5">
        <v>40</v>
      </c>
      <c r="I15" s="5">
        <v>3</v>
      </c>
      <c r="J15" s="5">
        <v>120</v>
      </c>
      <c r="K15" s="5" t="s">
        <v>11</v>
      </c>
      <c r="L15" s="5">
        <v>1035</v>
      </c>
    </row>
    <row r="16" spans="2:16" ht="28.8" x14ac:dyDescent="0.3">
      <c r="B16" s="5">
        <v>13</v>
      </c>
      <c r="C16" s="3" t="s">
        <v>6</v>
      </c>
      <c r="D16" s="4" t="s">
        <v>10</v>
      </c>
      <c r="E16" s="6">
        <v>19</v>
      </c>
      <c r="F16" s="10">
        <v>0.75</v>
      </c>
      <c r="G16" s="12" t="str">
        <f>"ID:" &amp; TEXT(Product_List[[#This Row],[Size (in)]], "# ??/??") &amp; """ " &amp; UPPER(Product_List[[#This Row],[Specification Code]])</f>
        <v>ID:  3/4 " 19</v>
      </c>
      <c r="H16" s="5">
        <v>40</v>
      </c>
      <c r="I16" s="5">
        <v>3</v>
      </c>
      <c r="J16" s="5">
        <v>120</v>
      </c>
      <c r="K16" s="5" t="s">
        <v>11</v>
      </c>
      <c r="L16" s="5">
        <v>1260</v>
      </c>
    </row>
    <row r="17" spans="2:12" x14ac:dyDescent="0.3">
      <c r="B17" s="5">
        <v>14</v>
      </c>
      <c r="C17" s="3" t="s">
        <v>6</v>
      </c>
      <c r="D17" s="4"/>
      <c r="E17" s="6">
        <v>25</v>
      </c>
      <c r="F17" s="10">
        <v>1</v>
      </c>
      <c r="G17" s="12" t="str">
        <f>"ID:" &amp; TEXT(Product_List[[#This Row],[Size (in)]], "# ??/??") &amp; """ " &amp; UPPER(Product_List[[#This Row],[Specification Code]])</f>
        <v>ID:1      " 25</v>
      </c>
      <c r="H17" s="5">
        <v>40</v>
      </c>
      <c r="I17" s="5">
        <v>3</v>
      </c>
      <c r="J17" s="5">
        <v>120</v>
      </c>
      <c r="K17" s="5" t="s">
        <v>11</v>
      </c>
      <c r="L17" s="5">
        <v>1530</v>
      </c>
    </row>
    <row r="18" spans="2:12" x14ac:dyDescent="0.3">
      <c r="B18" s="5">
        <v>15</v>
      </c>
      <c r="C18" s="3" t="s">
        <v>6</v>
      </c>
      <c r="D18" s="4"/>
      <c r="E18" s="6">
        <v>32</v>
      </c>
      <c r="F18" s="10">
        <v>1.25</v>
      </c>
      <c r="G18" s="12" t="str">
        <f>"ID:" &amp; TEXT(Product_List[[#This Row],[Size (in)]], "# ??/??") &amp; """ " &amp; UPPER(Product_List[[#This Row],[Specification Code]])</f>
        <v>ID:1  1/4 " 32</v>
      </c>
      <c r="H18" s="5">
        <v>40</v>
      </c>
      <c r="I18" s="5">
        <v>3</v>
      </c>
      <c r="J18" s="5">
        <v>120</v>
      </c>
      <c r="K18" s="5" t="s">
        <v>11</v>
      </c>
      <c r="L18" s="5">
        <v>1800</v>
      </c>
    </row>
    <row r="19" spans="2:12" x14ac:dyDescent="0.3">
      <c r="B19" s="5">
        <v>16</v>
      </c>
      <c r="C19" s="3"/>
      <c r="D19" s="4" t="s">
        <v>68</v>
      </c>
      <c r="E19" s="5"/>
      <c r="F19" s="5"/>
      <c r="G19" s="12"/>
      <c r="H19" s="5"/>
      <c r="I19" s="5">
        <v>15</v>
      </c>
      <c r="J19" s="5"/>
      <c r="K19" s="5" t="s">
        <v>81</v>
      </c>
      <c r="L19" s="5">
        <v>450</v>
      </c>
    </row>
    <row r="20" spans="2:12" x14ac:dyDescent="0.3">
      <c r="B20" s="5">
        <v>17</v>
      </c>
      <c r="C20" s="3"/>
      <c r="D20" s="4" t="s">
        <v>68</v>
      </c>
      <c r="E20" s="5"/>
      <c r="F20" s="5"/>
      <c r="G20" s="12"/>
      <c r="H20" s="5"/>
      <c r="I20" s="5">
        <v>35</v>
      </c>
      <c r="J20" s="5"/>
      <c r="K20" s="5" t="s">
        <v>81</v>
      </c>
      <c r="L20" s="5">
        <v>450</v>
      </c>
    </row>
    <row r="21" spans="2:12" x14ac:dyDescent="0.3">
      <c r="B21" s="5">
        <v>18</v>
      </c>
      <c r="C21" s="3"/>
      <c r="D21" s="4" t="s">
        <v>12</v>
      </c>
      <c r="E21" s="5"/>
      <c r="F21" s="5"/>
      <c r="G21" s="12"/>
      <c r="H21" s="5"/>
      <c r="I21" s="5">
        <v>25</v>
      </c>
      <c r="J21" s="5"/>
      <c r="K21" s="5" t="s">
        <v>81</v>
      </c>
      <c r="L21" s="5">
        <v>450</v>
      </c>
    </row>
    <row r="22" spans="2:12" x14ac:dyDescent="0.3">
      <c r="B22" s="5">
        <v>19</v>
      </c>
      <c r="C22" s="3"/>
      <c r="D22" s="4" t="s">
        <v>69</v>
      </c>
      <c r="E22" s="5"/>
      <c r="F22" s="5"/>
      <c r="G22" s="12"/>
      <c r="H22" s="5"/>
      <c r="I22" s="5">
        <v>50</v>
      </c>
      <c r="J22" s="5"/>
      <c r="K22" s="5" t="s">
        <v>81</v>
      </c>
      <c r="L22" s="5">
        <v>450</v>
      </c>
    </row>
    <row r="23" spans="2:12" x14ac:dyDescent="0.3">
      <c r="B23" s="5">
        <v>20</v>
      </c>
      <c r="C23" s="3"/>
      <c r="D23" s="4" t="s">
        <v>13</v>
      </c>
      <c r="E23" s="5"/>
      <c r="F23" s="5"/>
      <c r="G23" s="12"/>
      <c r="H23" s="5"/>
      <c r="I23" s="5">
        <v>10</v>
      </c>
      <c r="J23" s="5"/>
      <c r="K23" s="5" t="s">
        <v>81</v>
      </c>
      <c r="L23" s="5">
        <v>1125</v>
      </c>
    </row>
    <row r="24" spans="2:12" x14ac:dyDescent="0.3">
      <c r="B24" s="5">
        <v>21</v>
      </c>
      <c r="C24" s="3"/>
      <c r="D24" s="4" t="s">
        <v>14</v>
      </c>
      <c r="E24" s="5"/>
      <c r="F24" s="5"/>
      <c r="G24" s="12"/>
      <c r="H24" s="5"/>
      <c r="I24" s="5">
        <v>25</v>
      </c>
      <c r="J24" s="5"/>
      <c r="K24" s="5" t="s">
        <v>81</v>
      </c>
      <c r="L24" s="5">
        <v>450</v>
      </c>
    </row>
    <row r="25" spans="2:12" x14ac:dyDescent="0.3">
      <c r="B25" s="5">
        <v>22</v>
      </c>
      <c r="C25" s="3"/>
      <c r="D25" s="4" t="s">
        <v>70</v>
      </c>
      <c r="E25" s="5"/>
      <c r="F25" s="5"/>
      <c r="G25" s="12"/>
      <c r="H25" s="5"/>
      <c r="I25" s="5">
        <v>50</v>
      </c>
      <c r="J25" s="5"/>
      <c r="K25" s="5" t="s">
        <v>81</v>
      </c>
      <c r="L25" s="5">
        <v>450</v>
      </c>
    </row>
    <row r="26" spans="2:12" x14ac:dyDescent="0.3">
      <c r="B26" s="5">
        <v>23</v>
      </c>
      <c r="C26" s="3"/>
      <c r="D26" s="4" t="s">
        <v>15</v>
      </c>
      <c r="E26" s="5"/>
      <c r="F26" s="5"/>
      <c r="G26" s="12"/>
      <c r="H26" s="5"/>
      <c r="I26" s="5">
        <v>50</v>
      </c>
      <c r="J26" s="5"/>
      <c r="K26" s="5" t="s">
        <v>81</v>
      </c>
      <c r="L26" s="5">
        <v>450</v>
      </c>
    </row>
    <row r="27" spans="2:12" x14ac:dyDescent="0.3">
      <c r="B27" s="5">
        <v>24</v>
      </c>
      <c r="C27" s="3"/>
      <c r="D27" s="4" t="s">
        <v>16</v>
      </c>
      <c r="E27" s="5"/>
      <c r="F27" s="5"/>
      <c r="G27" s="12"/>
      <c r="H27" s="5"/>
      <c r="I27" s="5">
        <v>50</v>
      </c>
      <c r="J27" s="5"/>
      <c r="K27" s="5" t="s">
        <v>81</v>
      </c>
      <c r="L27" s="5">
        <v>450</v>
      </c>
    </row>
    <row r="28" spans="2:12" x14ac:dyDescent="0.3">
      <c r="B28" s="5">
        <v>25</v>
      </c>
      <c r="C28" s="3"/>
      <c r="D28" s="4" t="s">
        <v>17</v>
      </c>
      <c r="E28" s="5"/>
      <c r="F28" s="5"/>
      <c r="G28" s="12"/>
      <c r="H28" s="5"/>
      <c r="I28" s="5">
        <v>30</v>
      </c>
      <c r="J28" s="5"/>
      <c r="K28" s="5" t="s">
        <v>81</v>
      </c>
      <c r="L28" s="5">
        <v>400</v>
      </c>
    </row>
    <row r="29" spans="2:12" x14ac:dyDescent="0.3">
      <c r="B29" s="5">
        <v>26</v>
      </c>
      <c r="C29" s="3"/>
      <c r="D29" s="4" t="s">
        <v>18</v>
      </c>
      <c r="E29" s="5"/>
      <c r="F29" s="5"/>
      <c r="G29" s="12"/>
      <c r="H29" s="5"/>
      <c r="I29" s="5">
        <v>30</v>
      </c>
      <c r="J29" s="5"/>
      <c r="K29" s="5" t="s">
        <v>81</v>
      </c>
      <c r="L29" s="5">
        <v>400</v>
      </c>
    </row>
    <row r="30" spans="2:12" x14ac:dyDescent="0.3">
      <c r="B30" s="5">
        <v>27</v>
      </c>
      <c r="C30" s="3"/>
      <c r="D30" s="4" t="s">
        <v>19</v>
      </c>
      <c r="E30" s="5"/>
      <c r="F30" s="5"/>
      <c r="G30" s="12"/>
      <c r="H30" s="5"/>
      <c r="I30" s="5">
        <v>30</v>
      </c>
      <c r="J30" s="5"/>
      <c r="K30" s="5" t="s">
        <v>81</v>
      </c>
      <c r="L30" s="5">
        <v>400</v>
      </c>
    </row>
    <row r="31" spans="2:12" x14ac:dyDescent="0.3">
      <c r="B31" s="5">
        <v>28</v>
      </c>
      <c r="C31" s="3"/>
      <c r="D31" s="4" t="s">
        <v>20</v>
      </c>
      <c r="E31" s="5"/>
      <c r="F31" s="5"/>
      <c r="G31" s="12"/>
      <c r="H31" s="5"/>
      <c r="I31" s="5">
        <v>30</v>
      </c>
      <c r="J31" s="5"/>
      <c r="K31" s="5" t="s">
        <v>81</v>
      </c>
      <c r="L31" s="5">
        <v>400</v>
      </c>
    </row>
    <row r="32" spans="2:12" x14ac:dyDescent="0.3">
      <c r="B32" s="5">
        <v>29</v>
      </c>
      <c r="C32" s="3"/>
      <c r="D32" s="4" t="s">
        <v>21</v>
      </c>
      <c r="E32" s="5"/>
      <c r="F32" s="5"/>
      <c r="G32" s="12"/>
      <c r="H32" s="5"/>
      <c r="I32" s="5">
        <v>30</v>
      </c>
      <c r="J32" s="5"/>
      <c r="K32" s="5" t="s">
        <v>81</v>
      </c>
      <c r="L32" s="5">
        <v>400</v>
      </c>
    </row>
    <row r="33" spans="2:12" x14ac:dyDescent="0.3">
      <c r="B33" s="5">
        <v>30</v>
      </c>
      <c r="C33" s="3"/>
      <c r="D33" s="4" t="s">
        <v>22</v>
      </c>
      <c r="E33" s="5"/>
      <c r="F33" s="5"/>
      <c r="G33" s="12"/>
      <c r="H33" s="5"/>
      <c r="I33" s="5">
        <v>30</v>
      </c>
      <c r="J33" s="5"/>
      <c r="K33" s="5" t="s">
        <v>81</v>
      </c>
      <c r="L33" s="5">
        <v>400</v>
      </c>
    </row>
    <row r="34" spans="2:12" x14ac:dyDescent="0.3">
      <c r="B34" s="5">
        <v>31</v>
      </c>
      <c r="C34" s="3"/>
      <c r="D34" s="4" t="s">
        <v>23</v>
      </c>
      <c r="E34" s="5"/>
      <c r="F34" s="5"/>
      <c r="G34" s="12"/>
      <c r="H34" s="5"/>
      <c r="I34" s="5">
        <v>30</v>
      </c>
      <c r="J34" s="5"/>
      <c r="K34" s="5" t="s">
        <v>81</v>
      </c>
      <c r="L34" s="5">
        <v>400</v>
      </c>
    </row>
    <row r="35" spans="2:12" x14ac:dyDescent="0.3">
      <c r="B35" s="5">
        <v>32</v>
      </c>
      <c r="C35" s="3"/>
      <c r="D35" s="4" t="s">
        <v>24</v>
      </c>
      <c r="E35" s="5"/>
      <c r="F35" s="5"/>
      <c r="G35" s="12"/>
      <c r="H35" s="5"/>
      <c r="I35" s="5">
        <v>10</v>
      </c>
      <c r="J35" s="5"/>
      <c r="K35" s="5" t="s">
        <v>81</v>
      </c>
      <c r="L35" s="5">
        <v>1125</v>
      </c>
    </row>
    <row r="36" spans="2:12" x14ac:dyDescent="0.3">
      <c r="B36" s="5">
        <v>33</v>
      </c>
      <c r="C36" s="3"/>
      <c r="D36" s="4" t="s">
        <v>25</v>
      </c>
      <c r="E36" s="5"/>
      <c r="F36" s="5"/>
      <c r="G36" s="12"/>
      <c r="H36" s="5"/>
      <c r="I36" s="5">
        <v>5</v>
      </c>
      <c r="J36" s="5"/>
      <c r="K36" s="5" t="s">
        <v>81</v>
      </c>
      <c r="L36" s="5">
        <v>425</v>
      </c>
    </row>
    <row r="37" spans="2:12" x14ac:dyDescent="0.3">
      <c r="B37" s="5">
        <v>34</v>
      </c>
      <c r="C37" s="3"/>
      <c r="D37" s="4" t="s">
        <v>26</v>
      </c>
      <c r="E37" s="5"/>
      <c r="F37" s="5"/>
      <c r="G37" s="12"/>
      <c r="H37" s="5"/>
      <c r="I37" s="5">
        <v>100</v>
      </c>
      <c r="J37" s="5"/>
      <c r="K37" s="5" t="s">
        <v>81</v>
      </c>
      <c r="L37" s="5">
        <v>450</v>
      </c>
    </row>
    <row r="38" spans="2:12" x14ac:dyDescent="0.3">
      <c r="B38" s="5">
        <v>35</v>
      </c>
      <c r="C38" s="3"/>
      <c r="D38" s="4" t="s">
        <v>27</v>
      </c>
      <c r="E38" s="5"/>
      <c r="F38" s="5"/>
      <c r="G38" s="12"/>
      <c r="H38" s="5"/>
      <c r="I38" s="5">
        <v>5</v>
      </c>
      <c r="J38" s="5"/>
      <c r="K38" s="5" t="s">
        <v>81</v>
      </c>
      <c r="L38" s="5">
        <v>425</v>
      </c>
    </row>
    <row r="39" spans="2:12" x14ac:dyDescent="0.3">
      <c r="B39" s="5">
        <v>36</v>
      </c>
      <c r="C39" s="3"/>
      <c r="D39" s="4" t="s">
        <v>28</v>
      </c>
      <c r="E39" s="5"/>
      <c r="F39" s="5"/>
      <c r="G39" s="12"/>
      <c r="H39" s="5"/>
      <c r="I39" s="5">
        <v>100</v>
      </c>
      <c r="J39" s="5"/>
      <c r="K39" s="5" t="s">
        <v>81</v>
      </c>
      <c r="L39" s="5">
        <v>450</v>
      </c>
    </row>
    <row r="40" spans="2:12" x14ac:dyDescent="0.3">
      <c r="B40" s="5">
        <v>37</v>
      </c>
      <c r="C40" s="3"/>
      <c r="D40" s="4" t="s">
        <v>29</v>
      </c>
      <c r="E40" s="5"/>
      <c r="F40" s="5"/>
      <c r="G40" s="12"/>
      <c r="H40" s="5"/>
      <c r="I40" s="5">
        <v>50</v>
      </c>
      <c r="J40" s="5"/>
      <c r="K40" s="5" t="s">
        <v>81</v>
      </c>
      <c r="L40" s="5">
        <v>450</v>
      </c>
    </row>
    <row r="41" spans="2:12" x14ac:dyDescent="0.3">
      <c r="B41" s="5">
        <v>38</v>
      </c>
      <c r="C41" s="3"/>
      <c r="D41" s="4" t="s">
        <v>30</v>
      </c>
      <c r="E41" s="5"/>
      <c r="F41" s="5"/>
      <c r="G41" s="12"/>
      <c r="H41" s="5"/>
      <c r="I41" s="5">
        <v>50</v>
      </c>
      <c r="J41" s="5"/>
      <c r="K41" s="5" t="s">
        <v>81</v>
      </c>
      <c r="L41" s="5">
        <v>450</v>
      </c>
    </row>
    <row r="42" spans="2:12" x14ac:dyDescent="0.3">
      <c r="B42" s="5">
        <v>39</v>
      </c>
      <c r="C42" s="3"/>
      <c r="D42" s="4" t="s">
        <v>31</v>
      </c>
      <c r="E42" s="5"/>
      <c r="F42" s="5"/>
      <c r="G42" s="12"/>
      <c r="H42" s="5"/>
      <c r="I42" s="5">
        <v>50</v>
      </c>
      <c r="J42" s="5"/>
      <c r="K42" s="5" t="s">
        <v>81</v>
      </c>
      <c r="L42" s="5">
        <v>450</v>
      </c>
    </row>
    <row r="43" spans="2:12" x14ac:dyDescent="0.3">
      <c r="B43" s="5">
        <v>40</v>
      </c>
      <c r="C43" s="3"/>
      <c r="D43" s="4" t="s">
        <v>32</v>
      </c>
      <c r="E43" s="5"/>
      <c r="F43" s="5"/>
      <c r="G43" s="12"/>
      <c r="H43" s="5"/>
      <c r="I43" s="5">
        <v>30</v>
      </c>
      <c r="J43" s="5"/>
      <c r="K43" s="5" t="s">
        <v>81</v>
      </c>
      <c r="L43" s="5">
        <v>400</v>
      </c>
    </row>
    <row r="44" spans="2:12" x14ac:dyDescent="0.3">
      <c r="B44" s="5">
        <v>41</v>
      </c>
      <c r="C44" s="3"/>
      <c r="D44" s="4" t="s">
        <v>33</v>
      </c>
      <c r="E44" s="5"/>
      <c r="F44" s="5"/>
      <c r="G44" s="12"/>
      <c r="H44" s="5"/>
      <c r="I44" s="5">
        <v>20</v>
      </c>
      <c r="J44" s="5"/>
      <c r="K44" s="5" t="s">
        <v>81</v>
      </c>
      <c r="L44" s="5">
        <v>400</v>
      </c>
    </row>
    <row r="45" spans="2:12" x14ac:dyDescent="0.3">
      <c r="B45" s="5">
        <v>42</v>
      </c>
      <c r="C45" s="3"/>
      <c r="D45" s="4" t="s">
        <v>34</v>
      </c>
      <c r="E45" s="5"/>
      <c r="F45" s="5"/>
      <c r="G45" s="12"/>
      <c r="H45" s="5"/>
      <c r="I45" s="5">
        <v>30</v>
      </c>
      <c r="J45" s="5"/>
      <c r="K45" s="5" t="s">
        <v>81</v>
      </c>
      <c r="L45" s="5">
        <v>400</v>
      </c>
    </row>
    <row r="46" spans="2:12" x14ac:dyDescent="0.3">
      <c r="B46" s="5">
        <v>43</v>
      </c>
      <c r="C46" s="3"/>
      <c r="D46" s="4" t="s">
        <v>35</v>
      </c>
      <c r="E46" s="5"/>
      <c r="F46" s="5"/>
      <c r="G46" s="12"/>
      <c r="H46" s="5"/>
      <c r="I46" s="5">
        <v>30</v>
      </c>
      <c r="J46" s="5"/>
      <c r="K46" s="5" t="s">
        <v>81</v>
      </c>
      <c r="L46" s="5">
        <v>400</v>
      </c>
    </row>
    <row r="47" spans="2:12" x14ac:dyDescent="0.3">
      <c r="B47" s="5">
        <v>44</v>
      </c>
      <c r="C47" s="3"/>
      <c r="D47" s="4" t="s">
        <v>36</v>
      </c>
      <c r="E47" s="5"/>
      <c r="F47" s="5"/>
      <c r="G47" s="12"/>
      <c r="H47" s="5"/>
      <c r="I47" s="5">
        <v>20</v>
      </c>
      <c r="J47" s="5"/>
      <c r="K47" s="5" t="s">
        <v>81</v>
      </c>
      <c r="L47" s="5">
        <v>400</v>
      </c>
    </row>
    <row r="48" spans="2:12" x14ac:dyDescent="0.3">
      <c r="B48" s="5">
        <v>45</v>
      </c>
      <c r="C48" s="3"/>
      <c r="D48" s="4" t="s">
        <v>37</v>
      </c>
      <c r="E48" s="5"/>
      <c r="F48" s="5"/>
      <c r="G48" s="12"/>
      <c r="H48" s="5"/>
      <c r="I48" s="5">
        <v>30</v>
      </c>
      <c r="J48" s="5"/>
      <c r="K48" s="5" t="s">
        <v>81</v>
      </c>
      <c r="L48" s="5">
        <v>400</v>
      </c>
    </row>
    <row r="49" spans="2:12" x14ac:dyDescent="0.3">
      <c r="B49" s="5">
        <v>46</v>
      </c>
      <c r="C49" s="3"/>
      <c r="D49" s="4" t="s">
        <v>38</v>
      </c>
      <c r="E49" s="5"/>
      <c r="F49" s="5"/>
      <c r="G49" s="12"/>
      <c r="H49" s="5"/>
      <c r="I49" s="5">
        <v>50</v>
      </c>
      <c r="J49" s="5"/>
      <c r="K49" s="5" t="s">
        <v>81</v>
      </c>
      <c r="L49" s="5">
        <v>450</v>
      </c>
    </row>
    <row r="50" spans="2:12" x14ac:dyDescent="0.3">
      <c r="B50" s="5">
        <v>47</v>
      </c>
      <c r="C50" s="3"/>
      <c r="D50" s="4" t="s">
        <v>39</v>
      </c>
      <c r="E50" s="5"/>
      <c r="F50" s="5"/>
      <c r="G50" s="12"/>
      <c r="H50" s="5"/>
      <c r="I50" s="5">
        <v>100</v>
      </c>
      <c r="J50" s="5"/>
      <c r="K50" s="5" t="s">
        <v>81</v>
      </c>
      <c r="L50" s="5">
        <v>450</v>
      </c>
    </row>
    <row r="51" spans="2:12" x14ac:dyDescent="0.3">
      <c r="B51" s="5">
        <v>48</v>
      </c>
      <c r="C51" s="3"/>
      <c r="D51" s="4" t="s">
        <v>40</v>
      </c>
      <c r="E51" s="5"/>
      <c r="F51" s="5"/>
      <c r="G51" s="12"/>
      <c r="H51" s="5"/>
      <c r="I51" s="5">
        <v>100</v>
      </c>
      <c r="J51" s="5"/>
      <c r="K51" s="5" t="s">
        <v>81</v>
      </c>
      <c r="L51" s="5">
        <v>450</v>
      </c>
    </row>
    <row r="52" spans="2:12" x14ac:dyDescent="0.3">
      <c r="B52" s="5">
        <v>49</v>
      </c>
      <c r="C52" s="3"/>
      <c r="D52" s="4" t="s">
        <v>41</v>
      </c>
      <c r="E52" s="5"/>
      <c r="F52" s="5"/>
      <c r="G52" s="12"/>
      <c r="H52" s="5"/>
      <c r="I52" s="5">
        <v>50</v>
      </c>
      <c r="J52" s="5"/>
      <c r="K52" s="5" t="s">
        <v>81</v>
      </c>
      <c r="L52" s="5">
        <v>450</v>
      </c>
    </row>
    <row r="53" spans="2:12" x14ac:dyDescent="0.3">
      <c r="B53" s="5">
        <v>50</v>
      </c>
      <c r="C53" s="3"/>
      <c r="D53" s="4" t="s">
        <v>42</v>
      </c>
      <c r="E53" s="5"/>
      <c r="F53" s="5"/>
      <c r="G53" s="12"/>
      <c r="H53" s="5"/>
      <c r="I53" s="5">
        <v>50</v>
      </c>
      <c r="J53" s="5"/>
      <c r="K53" s="5" t="s">
        <v>81</v>
      </c>
      <c r="L53" s="5">
        <v>450</v>
      </c>
    </row>
    <row r="54" spans="2:12" x14ac:dyDescent="0.3">
      <c r="B54" s="5">
        <v>51</v>
      </c>
      <c r="C54" s="3"/>
      <c r="D54" s="4" t="s">
        <v>43</v>
      </c>
      <c r="E54" s="5"/>
      <c r="F54" s="5"/>
      <c r="G54" s="12"/>
      <c r="H54" s="5"/>
      <c r="I54" s="5">
        <v>50</v>
      </c>
      <c r="J54" s="5"/>
      <c r="K54" s="5" t="s">
        <v>81</v>
      </c>
      <c r="L54" s="5">
        <v>450</v>
      </c>
    </row>
    <row r="55" spans="2:12" x14ac:dyDescent="0.3">
      <c r="B55" s="5">
        <v>52</v>
      </c>
      <c r="C55" s="3"/>
      <c r="D55" s="4" t="s">
        <v>44</v>
      </c>
      <c r="E55" s="5"/>
      <c r="F55" s="5"/>
      <c r="G55" s="12"/>
      <c r="H55" s="5"/>
      <c r="I55" s="5">
        <v>50</v>
      </c>
      <c r="J55" s="5"/>
      <c r="K55" s="5" t="s">
        <v>81</v>
      </c>
      <c r="L55" s="5">
        <v>450</v>
      </c>
    </row>
    <row r="56" spans="2:12" x14ac:dyDescent="0.3">
      <c r="B56" s="5">
        <v>53</v>
      </c>
      <c r="C56" s="3"/>
      <c r="D56" s="4" t="s">
        <v>45</v>
      </c>
      <c r="E56" s="5"/>
      <c r="F56" s="5"/>
      <c r="G56" s="12"/>
      <c r="H56" s="5"/>
      <c r="I56" s="5">
        <v>50</v>
      </c>
      <c r="J56" s="5"/>
      <c r="K56" s="5" t="s">
        <v>81</v>
      </c>
      <c r="L56" s="5">
        <v>450</v>
      </c>
    </row>
    <row r="57" spans="2:12" x14ac:dyDescent="0.3">
      <c r="B57" s="5">
        <v>54</v>
      </c>
      <c r="C57" s="3"/>
      <c r="D57" s="4" t="s">
        <v>46</v>
      </c>
      <c r="E57" s="5"/>
      <c r="F57" s="5"/>
      <c r="G57" s="12"/>
      <c r="H57" s="5"/>
      <c r="I57" s="5">
        <v>200</v>
      </c>
      <c r="J57" s="5"/>
      <c r="K57" s="5" t="s">
        <v>81</v>
      </c>
      <c r="L57" s="5">
        <v>450</v>
      </c>
    </row>
    <row r="58" spans="2:12" x14ac:dyDescent="0.3">
      <c r="B58" s="5">
        <v>55</v>
      </c>
      <c r="C58" s="3"/>
      <c r="D58" s="4" t="s">
        <v>47</v>
      </c>
      <c r="E58" s="5"/>
      <c r="F58" s="5"/>
      <c r="G58" s="12"/>
      <c r="H58" s="5"/>
      <c r="I58" s="5">
        <v>100</v>
      </c>
      <c r="J58" s="5"/>
      <c r="K58" s="5" t="s">
        <v>81</v>
      </c>
      <c r="L58" s="5">
        <v>450</v>
      </c>
    </row>
    <row r="59" spans="2:12" x14ac:dyDescent="0.3">
      <c r="B59" s="5">
        <v>56</v>
      </c>
      <c r="C59" s="3"/>
      <c r="D59" s="4" t="s">
        <v>48</v>
      </c>
      <c r="E59" s="5"/>
      <c r="F59" s="5"/>
      <c r="G59" s="12"/>
      <c r="H59" s="5"/>
      <c r="I59" s="5">
        <v>10</v>
      </c>
      <c r="J59" s="5"/>
      <c r="K59" s="5" t="s">
        <v>81</v>
      </c>
      <c r="L59" s="5">
        <v>1125</v>
      </c>
    </row>
    <row r="60" spans="2:12" x14ac:dyDescent="0.3">
      <c r="B60" s="5">
        <v>57</v>
      </c>
      <c r="C60" s="3"/>
      <c r="D60" s="4" t="s">
        <v>49</v>
      </c>
      <c r="E60" s="5"/>
      <c r="F60" s="5"/>
      <c r="G60" s="12"/>
      <c r="H60" s="5"/>
      <c r="I60" s="5">
        <v>50</v>
      </c>
      <c r="J60" s="5"/>
      <c r="K60" s="5" t="s">
        <v>81</v>
      </c>
      <c r="L60" s="5">
        <v>450</v>
      </c>
    </row>
    <row r="61" spans="2:12" x14ac:dyDescent="0.3">
      <c r="B61" s="5">
        <v>58</v>
      </c>
      <c r="C61" s="3"/>
      <c r="D61" s="4" t="s">
        <v>50</v>
      </c>
      <c r="E61" s="5"/>
      <c r="F61" s="5"/>
      <c r="G61" s="12"/>
      <c r="H61" s="5"/>
      <c r="I61" s="5">
        <v>10</v>
      </c>
      <c r="J61" s="5"/>
      <c r="K61" s="5" t="s">
        <v>81</v>
      </c>
      <c r="L61" s="5">
        <v>1125</v>
      </c>
    </row>
    <row r="62" spans="2:12" x14ac:dyDescent="0.3">
      <c r="B62" s="5">
        <v>59</v>
      </c>
      <c r="C62" s="3"/>
      <c r="D62" s="4" t="s">
        <v>51</v>
      </c>
      <c r="E62" s="5"/>
      <c r="F62" s="5"/>
      <c r="G62" s="12"/>
      <c r="H62" s="5"/>
      <c r="I62" s="5">
        <v>10</v>
      </c>
      <c r="J62" s="5"/>
      <c r="K62" s="5" t="s">
        <v>81</v>
      </c>
      <c r="L62" s="5">
        <v>1125</v>
      </c>
    </row>
    <row r="63" spans="2:12" x14ac:dyDescent="0.3">
      <c r="B63" s="5">
        <v>60</v>
      </c>
      <c r="C63" s="3"/>
      <c r="D63" s="4" t="s">
        <v>52</v>
      </c>
      <c r="E63" s="5"/>
      <c r="F63" s="5"/>
      <c r="G63" s="12"/>
      <c r="H63" s="5"/>
      <c r="I63" s="5">
        <v>11</v>
      </c>
      <c r="J63" s="5"/>
      <c r="K63" s="5" t="s">
        <v>81</v>
      </c>
      <c r="L63" s="5">
        <v>425</v>
      </c>
    </row>
    <row r="64" spans="2:12" x14ac:dyDescent="0.3">
      <c r="B64" s="5">
        <v>61</v>
      </c>
      <c r="C64" s="3"/>
      <c r="D64" s="4" t="s">
        <v>53</v>
      </c>
      <c r="E64" s="5"/>
      <c r="F64" s="5"/>
      <c r="G64" s="12"/>
      <c r="H64" s="5"/>
      <c r="I64" s="5">
        <v>10</v>
      </c>
      <c r="J64" s="5"/>
      <c r="K64" s="5" t="s">
        <v>81</v>
      </c>
      <c r="L64" s="5">
        <v>425</v>
      </c>
    </row>
    <row r="65" spans="2:12" x14ac:dyDescent="0.3">
      <c r="B65" s="5">
        <v>62</v>
      </c>
      <c r="C65" s="3"/>
      <c r="D65" s="4" t="s">
        <v>54</v>
      </c>
      <c r="E65" s="5"/>
      <c r="F65" s="5"/>
      <c r="G65" s="12"/>
      <c r="H65" s="5"/>
      <c r="I65" s="5">
        <v>50</v>
      </c>
      <c r="J65" s="5"/>
      <c r="K65" s="5" t="s">
        <v>81</v>
      </c>
      <c r="L65" s="5">
        <v>450</v>
      </c>
    </row>
    <row r="66" spans="2:12" x14ac:dyDescent="0.3">
      <c r="B66" s="5">
        <v>63</v>
      </c>
      <c r="C66" s="3"/>
      <c r="D66" s="4" t="s">
        <v>55</v>
      </c>
      <c r="E66" s="5"/>
      <c r="F66" s="5"/>
      <c r="G66" s="12"/>
      <c r="H66" s="5"/>
      <c r="I66" s="5">
        <v>50</v>
      </c>
      <c r="J66" s="5"/>
      <c r="K66" s="5" t="s">
        <v>81</v>
      </c>
      <c r="L66" s="5">
        <v>450</v>
      </c>
    </row>
    <row r="67" spans="2:12" x14ac:dyDescent="0.3">
      <c r="B67" s="5">
        <v>64</v>
      </c>
      <c r="C67" s="3"/>
      <c r="D67" s="4" t="s">
        <v>56</v>
      </c>
      <c r="E67" s="5"/>
      <c r="F67" s="5"/>
      <c r="G67" s="12"/>
      <c r="H67" s="5"/>
      <c r="I67" s="5">
        <v>10</v>
      </c>
      <c r="J67" s="5"/>
      <c r="K67" s="5" t="s">
        <v>81</v>
      </c>
      <c r="L67" s="5">
        <v>425</v>
      </c>
    </row>
    <row r="68" spans="2:12" x14ac:dyDescent="0.3">
      <c r="B68" s="5">
        <v>65</v>
      </c>
      <c r="C68" s="3"/>
      <c r="D68" s="4" t="s">
        <v>57</v>
      </c>
      <c r="E68" s="5"/>
      <c r="F68" s="5"/>
      <c r="G68" s="12"/>
      <c r="H68" s="5"/>
      <c r="I68" s="5">
        <v>10</v>
      </c>
      <c r="J68" s="5"/>
      <c r="K68" s="5" t="s">
        <v>81</v>
      </c>
      <c r="L68" s="5">
        <v>425</v>
      </c>
    </row>
    <row r="69" spans="2:12" x14ac:dyDescent="0.3">
      <c r="B69" s="5">
        <v>66</v>
      </c>
      <c r="C69" s="3"/>
      <c r="D69" s="4" t="s">
        <v>58</v>
      </c>
      <c r="E69" s="5"/>
      <c r="F69" s="5"/>
      <c r="G69" s="12"/>
      <c r="H69" s="5"/>
      <c r="I69" s="5">
        <v>10</v>
      </c>
      <c r="J69" s="5"/>
      <c r="K69" s="5" t="s">
        <v>81</v>
      </c>
      <c r="L69" s="5">
        <v>425</v>
      </c>
    </row>
    <row r="70" spans="2:12" x14ac:dyDescent="0.3">
      <c r="B70" s="5">
        <v>67</v>
      </c>
      <c r="C70" s="3"/>
      <c r="D70" s="4" t="s">
        <v>59</v>
      </c>
      <c r="E70" s="5"/>
      <c r="F70" s="5"/>
      <c r="G70" s="12"/>
      <c r="H70" s="5"/>
      <c r="I70" s="5">
        <v>10</v>
      </c>
      <c r="J70" s="5"/>
      <c r="K70" s="5" t="s">
        <v>81</v>
      </c>
      <c r="L70" s="5">
        <v>425</v>
      </c>
    </row>
    <row r="71" spans="2:12" x14ac:dyDescent="0.3">
      <c r="B71" s="5">
        <v>68</v>
      </c>
      <c r="C71" s="3"/>
      <c r="D71" s="4" t="s">
        <v>60</v>
      </c>
      <c r="E71" s="5"/>
      <c r="F71" s="5"/>
      <c r="G71" s="12"/>
      <c r="H71" s="5"/>
      <c r="I71" s="5">
        <v>10</v>
      </c>
      <c r="J71" s="5"/>
      <c r="K71" s="5" t="s">
        <v>81</v>
      </c>
      <c r="L71" s="5">
        <v>425</v>
      </c>
    </row>
    <row r="72" spans="2:12" x14ac:dyDescent="0.3">
      <c r="B72" s="5">
        <v>69</v>
      </c>
      <c r="C72" s="3"/>
      <c r="D72" s="4" t="s">
        <v>61</v>
      </c>
      <c r="E72" s="5"/>
      <c r="F72" s="5"/>
      <c r="G72" s="12"/>
      <c r="H72" s="5"/>
      <c r="I72" s="5">
        <v>10</v>
      </c>
      <c r="J72" s="5"/>
      <c r="K72" s="5" t="s">
        <v>81</v>
      </c>
      <c r="L72" s="5">
        <v>425</v>
      </c>
    </row>
    <row r="73" spans="2:12" x14ac:dyDescent="0.3">
      <c r="B73" s="5">
        <v>70</v>
      </c>
      <c r="C73" s="3"/>
      <c r="D73" s="4" t="s">
        <v>62</v>
      </c>
      <c r="E73" s="5"/>
      <c r="F73" s="5"/>
      <c r="G73" s="12"/>
      <c r="H73" s="5"/>
      <c r="I73" s="5">
        <v>100</v>
      </c>
      <c r="J73" s="5"/>
      <c r="K73" s="5" t="s">
        <v>81</v>
      </c>
      <c r="L73" s="5">
        <v>450</v>
      </c>
    </row>
    <row r="74" spans="2:12" x14ac:dyDescent="0.3">
      <c r="B74" s="5">
        <v>71</v>
      </c>
      <c r="C74" s="3"/>
      <c r="D74" s="4" t="s">
        <v>63</v>
      </c>
      <c r="E74" s="5"/>
      <c r="F74" s="5"/>
      <c r="G74" s="12"/>
      <c r="H74" s="5"/>
      <c r="I74" s="5">
        <v>50</v>
      </c>
      <c r="J74" s="5"/>
      <c r="K74" s="5" t="s">
        <v>81</v>
      </c>
      <c r="L74" s="5">
        <v>450</v>
      </c>
    </row>
    <row r="76" spans="2:12" x14ac:dyDescent="0.3">
      <c r="B76" s="21" t="s">
        <v>76</v>
      </c>
      <c r="C76" s="21"/>
      <c r="D76" s="22"/>
      <c r="E76" s="21"/>
      <c r="F76" s="21"/>
      <c r="G76" s="23"/>
      <c r="H76" s="21"/>
      <c r="I76" s="21"/>
      <c r="J76" s="21"/>
      <c r="K76" s="21"/>
      <c r="L76" s="21"/>
    </row>
    <row r="77" spans="2:12" x14ac:dyDescent="0.3">
      <c r="B77" s="24"/>
      <c r="C77" s="24"/>
      <c r="D77" s="25"/>
      <c r="E77" s="24"/>
      <c r="F77" s="24"/>
      <c r="G77" s="26"/>
      <c r="H77" s="24"/>
      <c r="I77" s="24"/>
      <c r="J77" s="24"/>
      <c r="K77" s="24"/>
      <c r="L77" s="24"/>
    </row>
    <row r="78" spans="2:12" x14ac:dyDescent="0.3">
      <c r="B78" s="31" t="s">
        <v>71</v>
      </c>
      <c r="C78" s="27"/>
      <c r="D78" s="28"/>
      <c r="E78" s="24"/>
      <c r="F78" s="31" t="s">
        <v>77</v>
      </c>
      <c r="G78" s="29"/>
      <c r="H78" s="27"/>
      <c r="I78" s="32" t="s">
        <v>78</v>
      </c>
      <c r="J78" s="27"/>
      <c r="K78" s="27"/>
      <c r="L78" s="27"/>
    </row>
    <row r="79" spans="2:12" x14ac:dyDescent="0.3">
      <c r="B79" s="24"/>
      <c r="C79" s="24"/>
      <c r="D79" s="25"/>
      <c r="E79" s="24"/>
      <c r="F79" s="24"/>
      <c r="G79" s="26"/>
      <c r="H79" s="24"/>
      <c r="I79" s="24"/>
      <c r="J79" s="24"/>
      <c r="K79" s="24"/>
      <c r="L79" s="24"/>
    </row>
    <row r="80" spans="2:12" x14ac:dyDescent="0.3">
      <c r="B80" s="30" t="s">
        <v>79</v>
      </c>
      <c r="C80" s="24"/>
      <c r="D80" s="25"/>
      <c r="E80" s="24"/>
      <c r="F80" s="30" t="s">
        <v>79</v>
      </c>
      <c r="G80" s="26"/>
      <c r="H80" s="24"/>
      <c r="I80" s="30" t="s">
        <v>79</v>
      </c>
      <c r="J80" s="24"/>
      <c r="K80" s="24"/>
      <c r="L80" s="24"/>
    </row>
    <row r="81" spans="2:12" x14ac:dyDescent="0.3">
      <c r="B81" s="30" t="s">
        <v>72</v>
      </c>
      <c r="C81" s="24"/>
      <c r="D81" s="25"/>
      <c r="E81" s="24"/>
      <c r="F81" s="30" t="s">
        <v>72</v>
      </c>
      <c r="G81" s="26"/>
      <c r="H81" s="24"/>
      <c r="I81" s="30" t="s">
        <v>72</v>
      </c>
      <c r="J81" s="24"/>
      <c r="K81" s="24"/>
      <c r="L81" s="24"/>
    </row>
    <row r="82" spans="2:12" x14ac:dyDescent="0.3">
      <c r="B82" s="30" t="s">
        <v>73</v>
      </c>
      <c r="C82" s="24"/>
      <c r="D82" s="25"/>
      <c r="E82" s="24"/>
      <c r="F82" s="30" t="s">
        <v>73</v>
      </c>
      <c r="G82" s="26"/>
      <c r="H82" s="24"/>
      <c r="I82" s="30" t="s">
        <v>73</v>
      </c>
      <c r="J82" s="24"/>
      <c r="K82" s="24"/>
      <c r="L82" s="24"/>
    </row>
  </sheetData>
  <phoneticPr fontId="8" type="noConversion"/>
  <pageMargins left="0" right="0" top="0" bottom="0" header="0" footer="0"/>
  <pageSetup paperSize="9" scale="79" orientation="portrait" r:id="rId1"/>
  <rowBreaks count="1" manualBreakCount="1">
    <brk id="62" max="10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2026-05-03T03:18:39Z</cp:lastPrinted>
  <dcterms:created xsi:type="dcterms:W3CDTF">2026-05-02T12:14:08Z</dcterms:created>
  <dcterms:modified xsi:type="dcterms:W3CDTF">2026-05-22T08:22:36Z</dcterms:modified>
</cp:coreProperties>
</file>