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hy 1\"/>
    </mc:Choice>
  </mc:AlternateContent>
  <xr:revisionPtr revIDLastSave="0" documentId="13_ncr:1_{E52AF766-555F-4511-8C13-7B30056082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s" sheetId="1" r:id="rId1"/>
  </sheets>
  <definedNames>
    <definedName name="_xlnm.Print_Area" localSheetId="0">Invoices!$A$33:$F$43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C37" i="1"/>
  <c r="C36" i="1"/>
  <c r="B40" i="1"/>
  <c r="B39" i="1"/>
  <c r="B38" i="1"/>
  <c r="B37" i="1"/>
  <c r="B36" i="1"/>
  <c r="A40" i="1"/>
  <c r="A39" i="1"/>
  <c r="A38" i="1"/>
  <c r="A37" i="1"/>
  <c r="A36" i="1"/>
  <c r="B41" i="1" l="1"/>
  <c r="D37" i="1"/>
  <c r="E37" i="1" s="1"/>
  <c r="D36" i="1"/>
  <c r="E36" i="1" l="1"/>
  <c r="J28" i="1"/>
  <c r="K28" i="1" s="1"/>
  <c r="K21" i="1"/>
  <c r="K20" i="1"/>
  <c r="K17" i="1"/>
  <c r="L15" i="1" s="1"/>
  <c r="J12" i="1"/>
  <c r="K12" i="1" s="1"/>
  <c r="L11" i="1" s="1"/>
  <c r="N11" i="1" s="1"/>
  <c r="J7" i="1"/>
  <c r="K7" i="1" s="1"/>
  <c r="L4" i="1" s="1"/>
  <c r="N4" i="1" s="1"/>
  <c r="F31" i="1"/>
  <c r="G26" i="1" s="1"/>
  <c r="F30" i="1"/>
  <c r="F29" i="1"/>
  <c r="F28" i="1"/>
  <c r="F27" i="1"/>
  <c r="F26" i="1"/>
  <c r="F25" i="1"/>
  <c r="F24" i="1"/>
  <c r="F23" i="1"/>
  <c r="F22" i="1"/>
  <c r="F21" i="1"/>
  <c r="G20" i="1" s="1"/>
  <c r="F20" i="1"/>
  <c r="F19" i="1"/>
  <c r="F18" i="1"/>
  <c r="F17" i="1"/>
  <c r="F16" i="1"/>
  <c r="G15" i="1" s="1"/>
  <c r="F15" i="1"/>
  <c r="F14" i="1"/>
  <c r="F13" i="1"/>
  <c r="F12" i="1"/>
  <c r="G11" i="1" s="1"/>
  <c r="F11" i="1"/>
  <c r="F10" i="1"/>
  <c r="F9" i="1"/>
  <c r="F8" i="1"/>
  <c r="F7" i="1"/>
  <c r="F6" i="1"/>
  <c r="F5" i="1"/>
  <c r="F4" i="1"/>
  <c r="G4" i="1" s="1"/>
  <c r="N15" i="1" l="1"/>
  <c r="C38" i="1"/>
  <c r="L26" i="1"/>
  <c r="L20" i="1"/>
  <c r="N26" i="1" l="1"/>
  <c r="C40" i="1"/>
  <c r="D40" i="1" s="1"/>
  <c r="E40" i="1" s="1"/>
  <c r="N20" i="1"/>
  <c r="C39" i="1"/>
  <c r="D39" i="1" s="1"/>
  <c r="E39" i="1" s="1"/>
  <c r="D38" i="1"/>
  <c r="C41" i="1" l="1"/>
  <c r="E38" i="1"/>
  <c r="D41" i="1"/>
  <c r="E41" i="1" l="1"/>
</calcChain>
</file>

<file path=xl/sharedStrings.xml><?xml version="1.0" encoding="utf-8"?>
<sst xmlns="http://schemas.openxmlformats.org/spreadsheetml/2006/main" count="92" uniqueCount="47">
  <si>
    <t>INVOICE PROFIT ANALYSIS</t>
  </si>
  <si>
    <t>OUR COST</t>
  </si>
  <si>
    <t>OUTSIDE COST</t>
  </si>
  <si>
    <t>PROFIT</t>
  </si>
  <si>
    <t>Invoice Number</t>
  </si>
  <si>
    <t>Description</t>
  </si>
  <si>
    <t>Unit</t>
  </si>
  <si>
    <t>Qty</t>
  </si>
  <si>
    <t>Rate</t>
  </si>
  <si>
    <t>Amount</t>
  </si>
  <si>
    <t>Invoice Total</t>
  </si>
  <si>
    <t>Hose Size</t>
  </si>
  <si>
    <t>1 Ft Price (Outside)</t>
  </si>
  <si>
    <t>Total FT</t>
  </si>
  <si>
    <t>Outside Cost</t>
  </si>
  <si>
    <t>Total Outside Cost</t>
  </si>
  <si>
    <t>Profit / Loss</t>
  </si>
  <si>
    <t>INV/2026/06/001</t>
  </si>
  <si>
    <t>00400-12 - 00400-12</t>
  </si>
  <si>
    <t>Nos</t>
  </si>
  <si>
    <t xml:space="preserve">87391-12-12 - </t>
  </si>
  <si>
    <t xml:space="preserve">10011N-12 - </t>
  </si>
  <si>
    <t>Rubber pipe 4SH Fabric coverd hydraulic hose - 19</t>
  </si>
  <si>
    <t>m</t>
  </si>
  <si>
    <t>19mm</t>
  </si>
  <si>
    <t>Brass Rod</t>
  </si>
  <si>
    <t>Technical charges</t>
  </si>
  <si>
    <t>Sundries cost</t>
  </si>
  <si>
    <t>INV/2026/06/002</t>
  </si>
  <si>
    <t xml:space="preserve">22612-12-12 - </t>
  </si>
  <si>
    <t>INV/2026/06/003</t>
  </si>
  <si>
    <t xml:space="preserve">22611-08-08 - </t>
  </si>
  <si>
    <t xml:space="preserve">00210-08 - </t>
  </si>
  <si>
    <t>Rubber pipe R2 Fabric coverd hydraulic hose - 13</t>
  </si>
  <si>
    <t>13mm</t>
  </si>
  <si>
    <t>INV/2026/06/004</t>
  </si>
  <si>
    <t>INV/2026/06/005</t>
  </si>
  <si>
    <t xml:space="preserve">00110-04 - </t>
  </si>
  <si>
    <t xml:space="preserve">10011N-04 - </t>
  </si>
  <si>
    <t>Rubber pipe R2 Fabric coverd hydraulic hose - 6</t>
  </si>
  <si>
    <t>6mm</t>
  </si>
  <si>
    <t>Brass welding</t>
  </si>
  <si>
    <t>SUMMARY</t>
  </si>
  <si>
    <t>Profit</t>
  </si>
  <si>
    <t>Margin %</t>
  </si>
  <si>
    <t>TOTAL</t>
  </si>
  <si>
    <t>Total Technical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</si>
</sst>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3864"/>
      <name val="Calibri"/>
    </font>
    <font>
      <b/>
      <sz val="12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sz val="12"/>
      <color rgb="FF1F3864"/>
      <name val="Calibri"/>
      <family val="2"/>
      <scheme val="minor"/>
    </font>
    <font>
      <b/>
      <sz val="12"/>
      <color rgb="FF375623"/>
      <name val="Calibri"/>
      <family val="2"/>
      <scheme val="minor"/>
    </font>
    <font>
      <b/>
      <sz val="12"/>
      <color rgb="FF843C0C"/>
      <name val="Calibri"/>
      <family val="2"/>
      <scheme val="minor"/>
    </font>
    <font>
      <b/>
      <sz val="24"/>
      <color rgb="FFFFFFFF"/>
      <name val="Calibri"/>
      <family val="2"/>
    </font>
    <font>
      <sz val="2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C55A11"/>
        <bgColor rgb="FFC55A11"/>
      </patternFill>
    </fill>
    <fill>
      <patternFill patternType="solid">
        <fgColor rgb="FF375623"/>
        <bgColor rgb="FF375623"/>
      </patternFill>
    </fill>
    <fill>
      <patternFill patternType="solid">
        <fgColor rgb="FFBDD7EE"/>
        <bgColor rgb="FFBDD7EE"/>
      </patternFill>
    </fill>
    <fill>
      <patternFill patternType="solid">
        <fgColor rgb="FF1F386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F3864"/>
      </left>
      <right style="thin">
        <color rgb="FF9DC3E6"/>
      </right>
      <top style="thin">
        <color rgb="FF1F3864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1F3864"/>
      </top>
      <bottom style="thin">
        <color rgb="FF9DC3E6"/>
      </bottom>
      <diagonal/>
    </border>
    <border>
      <left style="thin">
        <color rgb="FF9DC3E6"/>
      </left>
      <right style="thin">
        <color rgb="FF1F3864"/>
      </right>
      <top style="thin">
        <color rgb="FF1F3864"/>
      </top>
      <bottom style="thin">
        <color rgb="FF9DC3E6"/>
      </bottom>
      <diagonal/>
    </border>
    <border>
      <left style="thin">
        <color rgb="FF1F3864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1F3864"/>
      </right>
      <top style="thin">
        <color rgb="FF9DC3E6"/>
      </top>
      <bottom style="thin">
        <color rgb="FF9DC3E6"/>
      </bottom>
      <diagonal/>
    </border>
    <border>
      <left style="thin">
        <color rgb="FF1F3864"/>
      </left>
      <right style="thin">
        <color rgb="FF9DC3E6"/>
      </right>
      <top style="thin">
        <color rgb="FF9DC3E6"/>
      </top>
      <bottom style="thin">
        <color rgb="FF1F3864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1F3864"/>
      </bottom>
      <diagonal/>
    </border>
    <border>
      <left style="thin">
        <color rgb="FF9DC3E6"/>
      </left>
      <right style="thin">
        <color rgb="FF1F3864"/>
      </right>
      <top style="thin">
        <color rgb="FF9DC3E6"/>
      </top>
      <bottom style="thin">
        <color rgb="FF1F38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5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4" fontId="0" fillId="0" borderId="1" xfId="0" applyNumberFormat="1" applyBorder="1"/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5" fillId="9" borderId="7" xfId="0" applyFont="1" applyFill="1" applyBorder="1"/>
    <xf numFmtId="4" fontId="0" fillId="9" borderId="8" xfId="0" applyNumberFormat="1" applyFill="1" applyBorder="1" applyAlignment="1">
      <alignment horizontal="right"/>
    </xf>
    <xf numFmtId="4" fontId="0" fillId="10" borderId="8" xfId="0" applyNumberFormat="1" applyFill="1" applyBorder="1" applyAlignment="1">
      <alignment horizontal="right"/>
    </xf>
    <xf numFmtId="4" fontId="6" fillId="11" borderId="8" xfId="0" applyNumberFormat="1" applyFont="1" applyFill="1" applyBorder="1" applyAlignment="1">
      <alignment horizontal="right"/>
    </xf>
    <xf numFmtId="165" fontId="6" fillId="11" borderId="9" xfId="0" applyNumberFormat="1" applyFont="1" applyFill="1" applyBorder="1" applyAlignment="1">
      <alignment horizontal="right"/>
    </xf>
    <xf numFmtId="0" fontId="5" fillId="12" borderId="7" xfId="0" applyFont="1" applyFill="1" applyBorder="1"/>
    <xf numFmtId="4" fontId="0" fillId="12" borderId="8" xfId="0" applyNumberFormat="1" applyFill="1" applyBorder="1" applyAlignment="1">
      <alignment horizontal="right"/>
    </xf>
    <xf numFmtId="4" fontId="0" fillId="13" borderId="8" xfId="0" applyNumberFormat="1" applyFill="1" applyBorder="1" applyAlignment="1">
      <alignment horizontal="right"/>
    </xf>
    <xf numFmtId="0" fontId="3" fillId="7" borderId="10" xfId="0" applyFont="1" applyFill="1" applyBorder="1" applyAlignment="1">
      <alignment horizontal="center"/>
    </xf>
    <xf numFmtId="4" fontId="3" fillId="14" borderId="11" xfId="0" applyNumberFormat="1" applyFont="1" applyFill="1" applyBorder="1" applyAlignment="1">
      <alignment horizontal="right"/>
    </xf>
    <xf numFmtId="4" fontId="3" fillId="15" borderId="11" xfId="0" applyNumberFormat="1" applyFont="1" applyFill="1" applyBorder="1" applyAlignment="1">
      <alignment horizontal="right"/>
    </xf>
    <xf numFmtId="4" fontId="3" fillId="16" borderId="11" xfId="0" applyNumberFormat="1" applyFont="1" applyFill="1" applyBorder="1" applyAlignment="1">
      <alignment horizontal="right"/>
    </xf>
    <xf numFmtId="165" fontId="3" fillId="16" borderId="12" xfId="0" applyNumberFormat="1" applyFont="1" applyFill="1" applyBorder="1" applyAlignment="1">
      <alignment horizontal="right"/>
    </xf>
    <xf numFmtId="0" fontId="7" fillId="17" borderId="0" xfId="0" applyFont="1" applyFill="1"/>
    <xf numFmtId="4" fontId="7" fillId="17" borderId="0" xfId="0" applyNumberFormat="1" applyFont="1" applyFill="1" applyAlignment="1">
      <alignment horizontal="right"/>
    </xf>
    <xf numFmtId="0" fontId="0" fillId="0" borderId="1" xfId="0" applyBorder="1" applyAlignment="1">
      <alignment wrapText="1"/>
    </xf>
    <xf numFmtId="0" fontId="3" fillId="7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4" fontId="0" fillId="0" borderId="1" xfId="0" applyNumberFormat="1" applyBorder="1" applyAlignment="1">
      <alignment horizontal="right" vertical="center"/>
    </xf>
    <xf numFmtId="4" fontId="0" fillId="0" borderId="2" xfId="0" applyNumberFormat="1" applyBorder="1"/>
    <xf numFmtId="4" fontId="0" fillId="0" borderId="3" xfId="0" applyNumberFormat="1" applyBorder="1"/>
    <xf numFmtId="0" fontId="1" fillId="4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A28" zoomScaleNormal="100" workbookViewId="0">
      <selection activeCell="I3" sqref="I3"/>
    </sheetView>
  </sheetViews>
  <sheetFormatPr defaultRowHeight="14.4" x14ac:dyDescent="0.3"/>
  <cols>
    <col min="1" max="1" width="23.21875" bestFit="1" customWidth="1"/>
    <col min="2" max="2" width="24.88671875" bestFit="1" customWidth="1"/>
    <col min="3" max="3" width="13.109375" bestFit="1" customWidth="1"/>
    <col min="4" max="4" width="9.88671875" bestFit="1" customWidth="1"/>
    <col min="5" max="5" width="9.88671875" customWidth="1"/>
    <col min="6" max="6" width="12.44140625" customWidth="1"/>
    <col min="7" max="7" width="15.44140625" customWidth="1"/>
    <col min="8" max="8" width="10.5546875" customWidth="1"/>
    <col min="9" max="9" width="19.33203125" customWidth="1"/>
    <col min="10" max="10" width="8.88671875" customWidth="1"/>
    <col min="11" max="11" width="13.44140625" customWidth="1"/>
    <col min="12" max="12" width="14.77734375" customWidth="1"/>
    <col min="13" max="13" width="3" customWidth="1"/>
    <col min="14" max="14" width="12.5546875" customWidth="1"/>
  </cols>
  <sheetData>
    <row r="1" spans="1:14" ht="31.2" x14ac:dyDescent="0.6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3">
      <c r="A2" s="36" t="s">
        <v>1</v>
      </c>
      <c r="B2" s="35"/>
      <c r="C2" s="35"/>
      <c r="D2" s="35"/>
      <c r="E2" s="35"/>
      <c r="F2" s="35"/>
      <c r="G2" s="35"/>
      <c r="H2" s="35"/>
      <c r="I2" s="34" t="s">
        <v>2</v>
      </c>
      <c r="J2" s="35"/>
      <c r="K2" s="35"/>
      <c r="L2" s="35"/>
      <c r="N2" s="1" t="s">
        <v>3</v>
      </c>
    </row>
    <row r="3" spans="1:14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N3" s="2" t="s">
        <v>16</v>
      </c>
    </row>
    <row r="4" spans="1:14" x14ac:dyDescent="0.3">
      <c r="A4" s="28" t="s">
        <v>17</v>
      </c>
      <c r="B4" s="24" t="s">
        <v>18</v>
      </c>
      <c r="C4" s="3" t="s">
        <v>19</v>
      </c>
      <c r="D4" s="4">
        <v>2</v>
      </c>
      <c r="E4" s="5">
        <v>400</v>
      </c>
      <c r="F4" s="5">
        <f t="shared" ref="F4:F31" si="0">D4*E4</f>
        <v>800</v>
      </c>
      <c r="G4" s="31">
        <f>SUM(F4:F10)*1.2095</f>
        <v>10881.96826</v>
      </c>
      <c r="H4" s="3"/>
      <c r="I4" s="5"/>
      <c r="J4" s="4"/>
      <c r="K4" s="5"/>
      <c r="L4" s="31">
        <f>SUM(K4:K10)</f>
        <v>20570.866141732284</v>
      </c>
      <c r="M4" s="3"/>
      <c r="N4" s="31">
        <f>L4-G4</f>
        <v>9688.8978817322841</v>
      </c>
    </row>
    <row r="5" spans="1:14" x14ac:dyDescent="0.3">
      <c r="A5" s="29"/>
      <c r="B5" s="24" t="s">
        <v>20</v>
      </c>
      <c r="C5" s="3" t="s">
        <v>19</v>
      </c>
      <c r="D5" s="4">
        <v>1</v>
      </c>
      <c r="E5" s="5">
        <v>450</v>
      </c>
      <c r="F5" s="5">
        <f t="shared" si="0"/>
        <v>450</v>
      </c>
      <c r="G5" s="32"/>
      <c r="H5" s="3"/>
      <c r="I5" s="5"/>
      <c r="J5" s="4"/>
      <c r="K5" s="5"/>
      <c r="L5" s="32"/>
      <c r="M5" s="3"/>
      <c r="N5" s="32"/>
    </row>
    <row r="6" spans="1:14" x14ac:dyDescent="0.3">
      <c r="A6" s="29"/>
      <c r="B6" s="24" t="s">
        <v>21</v>
      </c>
      <c r="C6" s="3" t="s">
        <v>19</v>
      </c>
      <c r="D6" s="4">
        <v>1</v>
      </c>
      <c r="E6" s="5">
        <v>450</v>
      </c>
      <c r="F6" s="5">
        <f t="shared" si="0"/>
        <v>450</v>
      </c>
      <c r="G6" s="32"/>
      <c r="H6" s="3"/>
      <c r="I6" s="5"/>
      <c r="J6" s="4"/>
      <c r="K6" s="5"/>
      <c r="L6" s="32"/>
      <c r="M6" s="3"/>
      <c r="N6" s="32"/>
    </row>
    <row r="7" spans="1:14" ht="28.8" x14ac:dyDescent="0.3">
      <c r="A7" s="29"/>
      <c r="B7" s="24" t="s">
        <v>22</v>
      </c>
      <c r="C7" s="3" t="s">
        <v>23</v>
      </c>
      <c r="D7" s="4">
        <v>1.65</v>
      </c>
      <c r="E7" s="5">
        <v>1260</v>
      </c>
      <c r="F7" s="5">
        <f t="shared" si="0"/>
        <v>2079</v>
      </c>
      <c r="G7" s="32"/>
      <c r="H7" s="3" t="s">
        <v>24</v>
      </c>
      <c r="I7" s="5">
        <v>3800</v>
      </c>
      <c r="J7" s="4">
        <f>CONVERT(D7, "m", "ft")</f>
        <v>5.4133858267716537</v>
      </c>
      <c r="K7" s="5">
        <f>I7*J7</f>
        <v>20570.866141732284</v>
      </c>
      <c r="L7" s="32"/>
      <c r="M7" s="3"/>
      <c r="N7" s="32"/>
    </row>
    <row r="8" spans="1:14" x14ac:dyDescent="0.3">
      <c r="A8" s="29"/>
      <c r="B8" s="24" t="s">
        <v>25</v>
      </c>
      <c r="C8" s="3" t="s">
        <v>19</v>
      </c>
      <c r="D8" s="4">
        <v>1</v>
      </c>
      <c r="E8" s="5">
        <v>675</v>
      </c>
      <c r="F8" s="5">
        <f t="shared" si="0"/>
        <v>675</v>
      </c>
      <c r="G8" s="32"/>
      <c r="H8" s="3"/>
      <c r="I8" s="5"/>
      <c r="J8" s="4"/>
      <c r="K8" s="5"/>
      <c r="L8" s="32"/>
      <c r="M8" s="3"/>
      <c r="N8" s="32"/>
    </row>
    <row r="9" spans="1:14" x14ac:dyDescent="0.3">
      <c r="A9" s="29"/>
      <c r="B9" s="24" t="s">
        <v>26</v>
      </c>
      <c r="C9" s="3" t="s">
        <v>19</v>
      </c>
      <c r="D9" s="4">
        <v>1</v>
      </c>
      <c r="E9" s="5">
        <v>4008.6</v>
      </c>
      <c r="F9" s="5">
        <f t="shared" si="0"/>
        <v>4008.6</v>
      </c>
      <c r="G9" s="32"/>
      <c r="H9" s="3"/>
      <c r="I9" s="5"/>
      <c r="J9" s="4"/>
      <c r="K9" s="5"/>
      <c r="L9" s="32"/>
      <c r="M9" s="3"/>
      <c r="N9" s="32"/>
    </row>
    <row r="10" spans="1:14" x14ac:dyDescent="0.3">
      <c r="A10" s="30"/>
      <c r="B10" s="24" t="s">
        <v>27</v>
      </c>
      <c r="C10" s="3" t="s">
        <v>19</v>
      </c>
      <c r="D10" s="4">
        <v>1</v>
      </c>
      <c r="E10" s="5">
        <v>534.48</v>
      </c>
      <c r="F10" s="5">
        <f t="shared" si="0"/>
        <v>534.48</v>
      </c>
      <c r="G10" s="33"/>
      <c r="H10" s="3"/>
      <c r="I10" s="5"/>
      <c r="J10" s="4"/>
      <c r="K10" s="5"/>
      <c r="L10" s="33"/>
      <c r="M10" s="3"/>
      <c r="N10" s="33"/>
    </row>
    <row r="11" spans="1:14" x14ac:dyDescent="0.3">
      <c r="A11" s="28" t="s">
        <v>28</v>
      </c>
      <c r="B11" s="24" t="s">
        <v>29</v>
      </c>
      <c r="C11" s="3" t="s">
        <v>19</v>
      </c>
      <c r="D11" s="4">
        <v>1</v>
      </c>
      <c r="E11" s="5">
        <v>425</v>
      </c>
      <c r="F11" s="5">
        <f t="shared" si="0"/>
        <v>425</v>
      </c>
      <c r="G11" s="31">
        <f>SUM(F11:F14)*1.2095</f>
        <v>2015.63175</v>
      </c>
      <c r="H11" s="3"/>
      <c r="I11" s="5"/>
      <c r="J11" s="4"/>
      <c r="K11" s="5"/>
      <c r="L11" s="31">
        <f>SUM(K11:K14)</f>
        <v>6233.5958005249349</v>
      </c>
      <c r="M11" s="3"/>
      <c r="N11" s="31">
        <f>L11-G11</f>
        <v>4217.9640505249354</v>
      </c>
    </row>
    <row r="12" spans="1:14" x14ac:dyDescent="0.3">
      <c r="A12" s="29"/>
      <c r="B12" s="24" t="s">
        <v>18</v>
      </c>
      <c r="C12" s="3" t="s">
        <v>19</v>
      </c>
      <c r="D12" s="4">
        <v>1</v>
      </c>
      <c r="E12" s="5">
        <v>400</v>
      </c>
      <c r="F12" s="5">
        <f t="shared" si="0"/>
        <v>400</v>
      </c>
      <c r="G12" s="32"/>
      <c r="H12" s="3" t="s">
        <v>24</v>
      </c>
      <c r="I12" s="5">
        <v>1900</v>
      </c>
      <c r="J12" s="4">
        <f>CONVERT(D11, "m", "ft")</f>
        <v>3.2808398950131235</v>
      </c>
      <c r="K12" s="5">
        <f>I12*J12</f>
        <v>6233.5958005249349</v>
      </c>
      <c r="L12" s="32"/>
      <c r="M12" s="3"/>
      <c r="N12" s="32"/>
    </row>
    <row r="13" spans="1:14" x14ac:dyDescent="0.3">
      <c r="A13" s="29"/>
      <c r="B13" s="24" t="s">
        <v>26</v>
      </c>
      <c r="C13" s="3" t="s">
        <v>19</v>
      </c>
      <c r="D13" s="4">
        <v>1</v>
      </c>
      <c r="E13" s="5">
        <v>742.5</v>
      </c>
      <c r="F13" s="5">
        <f t="shared" si="0"/>
        <v>742.5</v>
      </c>
      <c r="G13" s="32"/>
      <c r="H13" s="3"/>
      <c r="I13" s="5"/>
      <c r="J13" s="4"/>
      <c r="K13" s="5"/>
      <c r="L13" s="32"/>
      <c r="M13" s="3"/>
      <c r="N13" s="32"/>
    </row>
    <row r="14" spans="1:14" x14ac:dyDescent="0.3">
      <c r="A14" s="30"/>
      <c r="B14" s="24" t="s">
        <v>27</v>
      </c>
      <c r="C14" s="3" t="s">
        <v>19</v>
      </c>
      <c r="D14" s="4">
        <v>1</v>
      </c>
      <c r="E14" s="5">
        <v>99</v>
      </c>
      <c r="F14" s="5">
        <f t="shared" si="0"/>
        <v>99</v>
      </c>
      <c r="G14" s="33"/>
      <c r="H14" s="3"/>
      <c r="I14" s="5"/>
      <c r="J14" s="4"/>
      <c r="K14" s="5"/>
      <c r="L14" s="33"/>
      <c r="M14" s="3"/>
      <c r="N14" s="33"/>
    </row>
    <row r="15" spans="1:14" x14ac:dyDescent="0.3">
      <c r="A15" s="28" t="s">
        <v>30</v>
      </c>
      <c r="B15" s="24" t="s">
        <v>31</v>
      </c>
      <c r="C15" s="3" t="s">
        <v>19</v>
      </c>
      <c r="D15" s="4">
        <v>2</v>
      </c>
      <c r="E15" s="5">
        <v>450</v>
      </c>
      <c r="F15" s="5">
        <f t="shared" si="0"/>
        <v>900</v>
      </c>
      <c r="G15" s="31">
        <f>SUM(F15:F19)*1.2095</f>
        <v>6764.5823124999997</v>
      </c>
      <c r="H15" s="3"/>
      <c r="I15" s="5"/>
      <c r="J15" s="4"/>
      <c r="K15" s="5"/>
      <c r="L15" s="31">
        <f>SUM(K15:K19)</f>
        <v>6880</v>
      </c>
      <c r="M15" s="3"/>
      <c r="N15" s="31">
        <f>L15-G15</f>
        <v>115.41768750000028</v>
      </c>
    </row>
    <row r="16" spans="1:14" x14ac:dyDescent="0.3">
      <c r="A16" s="29"/>
      <c r="B16" s="24" t="s">
        <v>32</v>
      </c>
      <c r="C16" s="3" t="s">
        <v>19</v>
      </c>
      <c r="D16" s="4">
        <v>2</v>
      </c>
      <c r="E16" s="5">
        <v>400</v>
      </c>
      <c r="F16" s="5">
        <f t="shared" si="0"/>
        <v>800</v>
      </c>
      <c r="G16" s="32"/>
      <c r="H16" s="3"/>
      <c r="I16" s="5"/>
      <c r="J16" s="4"/>
      <c r="K16" s="5"/>
      <c r="L16" s="32"/>
      <c r="M16" s="3"/>
      <c r="N16" s="32"/>
    </row>
    <row r="17" spans="1:14" ht="28.8" x14ac:dyDescent="0.3">
      <c r="A17" s="29"/>
      <c r="B17" s="24" t="s">
        <v>33</v>
      </c>
      <c r="C17" s="3" t="s">
        <v>23</v>
      </c>
      <c r="D17" s="4">
        <v>1.25</v>
      </c>
      <c r="E17" s="5">
        <v>855</v>
      </c>
      <c r="F17" s="5">
        <f t="shared" si="0"/>
        <v>1068.75</v>
      </c>
      <c r="G17" s="32"/>
      <c r="H17" s="3" t="s">
        <v>34</v>
      </c>
      <c r="I17" s="5">
        <v>1600</v>
      </c>
      <c r="J17" s="4">
        <v>4.3</v>
      </c>
      <c r="K17" s="5">
        <f>I17*J17</f>
        <v>6880</v>
      </c>
      <c r="L17" s="32"/>
      <c r="M17" s="3"/>
      <c r="N17" s="32"/>
    </row>
    <row r="18" spans="1:14" x14ac:dyDescent="0.3">
      <c r="A18" s="29"/>
      <c r="B18" s="24" t="s">
        <v>26</v>
      </c>
      <c r="C18" s="3" t="s">
        <v>19</v>
      </c>
      <c r="D18" s="4">
        <v>1</v>
      </c>
      <c r="E18" s="5">
        <v>2491.875</v>
      </c>
      <c r="F18" s="5">
        <f t="shared" si="0"/>
        <v>2491.875</v>
      </c>
      <c r="G18" s="32"/>
      <c r="H18" s="3"/>
      <c r="I18" s="5"/>
      <c r="J18" s="4"/>
      <c r="K18" s="5"/>
      <c r="L18" s="32"/>
      <c r="M18" s="3"/>
      <c r="N18" s="32"/>
    </row>
    <row r="19" spans="1:14" x14ac:dyDescent="0.3">
      <c r="A19" s="30"/>
      <c r="B19" s="24" t="s">
        <v>27</v>
      </c>
      <c r="C19" s="3" t="s">
        <v>19</v>
      </c>
      <c r="D19" s="4">
        <v>1</v>
      </c>
      <c r="E19" s="5">
        <v>332.25</v>
      </c>
      <c r="F19" s="5">
        <f t="shared" si="0"/>
        <v>332.25</v>
      </c>
      <c r="G19" s="33"/>
      <c r="H19" s="3"/>
      <c r="I19" s="5"/>
      <c r="J19" s="4"/>
      <c r="K19" s="5"/>
      <c r="L19" s="33"/>
      <c r="M19" s="3"/>
      <c r="N19" s="33"/>
    </row>
    <row r="20" spans="1:14" ht="28.8" x14ac:dyDescent="0.3">
      <c r="A20" s="28" t="s">
        <v>35</v>
      </c>
      <c r="B20" s="24" t="s">
        <v>33</v>
      </c>
      <c r="C20" s="3" t="s">
        <v>23</v>
      </c>
      <c r="D20" s="4">
        <v>1.25</v>
      </c>
      <c r="E20" s="5">
        <v>855</v>
      </c>
      <c r="F20" s="5">
        <f t="shared" si="0"/>
        <v>1068.75</v>
      </c>
      <c r="G20" s="31">
        <f>SUM(F20:F25)*1.2095</f>
        <v>13529.164624999999</v>
      </c>
      <c r="H20" s="3" t="s">
        <v>34</v>
      </c>
      <c r="I20" s="5">
        <v>1600</v>
      </c>
      <c r="J20" s="4">
        <v>4.25</v>
      </c>
      <c r="K20" s="5">
        <f>I20*J20</f>
        <v>6800</v>
      </c>
      <c r="L20" s="31">
        <f>SUM(K20:K25)</f>
        <v>13600</v>
      </c>
      <c r="M20" s="3"/>
      <c r="N20" s="31">
        <f>L20-G20</f>
        <v>70.835375000000568</v>
      </c>
    </row>
    <row r="21" spans="1:14" ht="28.8" x14ac:dyDescent="0.3">
      <c r="A21" s="29"/>
      <c r="B21" s="24" t="s">
        <v>33</v>
      </c>
      <c r="C21" s="3" t="s">
        <v>23</v>
      </c>
      <c r="D21" s="4">
        <v>1.25</v>
      </c>
      <c r="E21" s="5">
        <v>855</v>
      </c>
      <c r="F21" s="5">
        <f t="shared" si="0"/>
        <v>1068.75</v>
      </c>
      <c r="G21" s="32"/>
      <c r="H21" s="3" t="s">
        <v>34</v>
      </c>
      <c r="I21" s="5">
        <v>1600</v>
      </c>
      <c r="J21" s="4">
        <v>4.25</v>
      </c>
      <c r="K21" s="5">
        <f>I21*J21</f>
        <v>6800</v>
      </c>
      <c r="L21" s="32"/>
      <c r="M21" s="3"/>
      <c r="N21" s="32"/>
    </row>
    <row r="22" spans="1:14" x14ac:dyDescent="0.3">
      <c r="A22" s="29"/>
      <c r="B22" s="24" t="s">
        <v>31</v>
      </c>
      <c r="C22" s="3" t="s">
        <v>19</v>
      </c>
      <c r="D22" s="4">
        <v>4</v>
      </c>
      <c r="E22" s="5">
        <v>450</v>
      </c>
      <c r="F22" s="5">
        <f t="shared" si="0"/>
        <v>1800</v>
      </c>
      <c r="G22" s="32"/>
      <c r="H22" s="3"/>
      <c r="I22" s="5"/>
      <c r="J22" s="4"/>
      <c r="K22" s="5"/>
      <c r="L22" s="32"/>
      <c r="M22" s="3"/>
      <c r="N22" s="32"/>
    </row>
    <row r="23" spans="1:14" x14ac:dyDescent="0.3">
      <c r="A23" s="29"/>
      <c r="B23" s="24" t="s">
        <v>32</v>
      </c>
      <c r="C23" s="3" t="s">
        <v>19</v>
      </c>
      <c r="D23" s="4">
        <v>4</v>
      </c>
      <c r="E23" s="5">
        <v>400</v>
      </c>
      <c r="F23" s="5">
        <f t="shared" si="0"/>
        <v>1600</v>
      </c>
      <c r="G23" s="32"/>
      <c r="H23" s="3"/>
      <c r="I23" s="5"/>
      <c r="J23" s="4"/>
      <c r="K23" s="5"/>
      <c r="L23" s="32"/>
      <c r="M23" s="3"/>
      <c r="N23" s="32"/>
    </row>
    <row r="24" spans="1:14" x14ac:dyDescent="0.3">
      <c r="A24" s="29"/>
      <c r="B24" s="24" t="s">
        <v>26</v>
      </c>
      <c r="C24" s="3" t="s">
        <v>19</v>
      </c>
      <c r="D24" s="4">
        <v>1</v>
      </c>
      <c r="E24" s="5">
        <v>4983.75</v>
      </c>
      <c r="F24" s="5">
        <f t="shared" si="0"/>
        <v>4983.75</v>
      </c>
      <c r="G24" s="32"/>
      <c r="H24" s="3"/>
      <c r="I24" s="5"/>
      <c r="J24" s="4"/>
      <c r="K24" s="5"/>
      <c r="L24" s="32"/>
      <c r="M24" s="3"/>
      <c r="N24" s="32"/>
    </row>
    <row r="25" spans="1:14" x14ac:dyDescent="0.3">
      <c r="A25" s="30"/>
      <c r="B25" s="24" t="s">
        <v>27</v>
      </c>
      <c r="C25" s="3" t="s">
        <v>19</v>
      </c>
      <c r="D25" s="4">
        <v>1</v>
      </c>
      <c r="E25" s="5">
        <v>664.5</v>
      </c>
      <c r="F25" s="5">
        <f t="shared" si="0"/>
        <v>664.5</v>
      </c>
      <c r="G25" s="33"/>
      <c r="H25" s="3"/>
      <c r="I25" s="5"/>
      <c r="J25" s="4"/>
      <c r="K25" s="5"/>
      <c r="L25" s="33"/>
      <c r="M25" s="3"/>
      <c r="N25" s="33"/>
    </row>
    <row r="26" spans="1:14" x14ac:dyDescent="0.3">
      <c r="A26" s="28" t="s">
        <v>36</v>
      </c>
      <c r="B26" s="24" t="s">
        <v>37</v>
      </c>
      <c r="C26" s="3" t="s">
        <v>19</v>
      </c>
      <c r="D26" s="4">
        <v>2</v>
      </c>
      <c r="E26" s="5">
        <v>400</v>
      </c>
      <c r="F26" s="5">
        <f t="shared" si="0"/>
        <v>800</v>
      </c>
      <c r="G26" s="31">
        <f>SUM(F26:F31)*1.2095</f>
        <v>8309.533508999999</v>
      </c>
      <c r="H26" s="3"/>
      <c r="I26" s="5"/>
      <c r="J26" s="4"/>
      <c r="K26" s="5"/>
      <c r="L26" s="31">
        <f>SUM(K26:K31)</f>
        <v>8440.9448818897636</v>
      </c>
      <c r="M26" s="3"/>
      <c r="N26" s="31">
        <f>L26-G26</f>
        <v>131.41137288976461</v>
      </c>
    </row>
    <row r="27" spans="1:14" x14ac:dyDescent="0.3">
      <c r="A27" s="29"/>
      <c r="B27" s="24" t="s">
        <v>38</v>
      </c>
      <c r="C27" s="3" t="s">
        <v>19</v>
      </c>
      <c r="D27" s="4">
        <v>2</v>
      </c>
      <c r="E27" s="5">
        <v>450</v>
      </c>
      <c r="F27" s="5">
        <f t="shared" si="0"/>
        <v>900</v>
      </c>
      <c r="G27" s="32"/>
      <c r="H27" s="3"/>
      <c r="I27" s="5"/>
      <c r="J27" s="4"/>
      <c r="K27" s="5"/>
      <c r="L27" s="32"/>
      <c r="M27" s="3"/>
      <c r="N27" s="32"/>
    </row>
    <row r="28" spans="1:14" ht="28.8" x14ac:dyDescent="0.3">
      <c r="A28" s="29"/>
      <c r="B28" s="24" t="s">
        <v>39</v>
      </c>
      <c r="C28" s="3" t="s">
        <v>23</v>
      </c>
      <c r="D28" s="4">
        <v>0.62</v>
      </c>
      <c r="E28" s="5">
        <v>405</v>
      </c>
      <c r="F28" s="5">
        <f t="shared" si="0"/>
        <v>251.1</v>
      </c>
      <c r="G28" s="32"/>
      <c r="H28" s="3" t="s">
        <v>40</v>
      </c>
      <c r="I28" s="5">
        <v>1200</v>
      </c>
      <c r="J28" s="4">
        <f>CONVERT(D28,"m","ft")</f>
        <v>2.0341207349081363</v>
      </c>
      <c r="K28" s="5">
        <f>I28*J28</f>
        <v>2440.9448818897636</v>
      </c>
      <c r="L28" s="32"/>
      <c r="M28" s="3"/>
      <c r="N28" s="32"/>
    </row>
    <row r="29" spans="1:14" x14ac:dyDescent="0.3">
      <c r="A29" s="29"/>
      <c r="B29" s="24" t="s">
        <v>41</v>
      </c>
      <c r="C29" s="3" t="s">
        <v>19</v>
      </c>
      <c r="D29" s="4">
        <v>1</v>
      </c>
      <c r="E29" s="5">
        <v>1450</v>
      </c>
      <c r="F29" s="5">
        <f t="shared" si="0"/>
        <v>1450</v>
      </c>
      <c r="G29" s="32"/>
      <c r="H29" s="3"/>
      <c r="I29" s="5"/>
      <c r="J29" s="4"/>
      <c r="K29" s="5">
        <v>6000</v>
      </c>
      <c r="L29" s="32"/>
      <c r="M29" s="3"/>
      <c r="N29" s="32"/>
    </row>
    <row r="30" spans="1:14" x14ac:dyDescent="0.3">
      <c r="A30" s="29"/>
      <c r="B30" s="24" t="s">
        <v>26</v>
      </c>
      <c r="C30" s="3" t="s">
        <v>19</v>
      </c>
      <c r="D30" s="4">
        <v>1</v>
      </c>
      <c r="E30" s="5">
        <v>3060.99</v>
      </c>
      <c r="F30" s="5">
        <f t="shared" si="0"/>
        <v>3060.99</v>
      </c>
      <c r="G30" s="32"/>
      <c r="H30" s="3"/>
      <c r="I30" s="5"/>
      <c r="J30" s="4"/>
      <c r="K30" s="5"/>
      <c r="L30" s="32"/>
      <c r="M30" s="3"/>
      <c r="N30" s="32"/>
    </row>
    <row r="31" spans="1:14" x14ac:dyDescent="0.3">
      <c r="A31" s="30"/>
      <c r="B31" s="3" t="s">
        <v>27</v>
      </c>
      <c r="C31" s="3" t="s">
        <v>19</v>
      </c>
      <c r="D31" s="4">
        <v>1</v>
      </c>
      <c r="E31" s="5">
        <v>408.13200000000001</v>
      </c>
      <c r="F31" s="5">
        <f t="shared" si="0"/>
        <v>408.13200000000001</v>
      </c>
      <c r="G31" s="33"/>
      <c r="H31" s="3"/>
      <c r="I31" s="5"/>
      <c r="J31" s="4"/>
      <c r="K31" s="5"/>
      <c r="L31" s="33"/>
      <c r="M31" s="3"/>
      <c r="N31" s="33"/>
    </row>
    <row r="34" spans="1:5" ht="15.6" x14ac:dyDescent="0.3">
      <c r="A34" s="25" t="s">
        <v>42</v>
      </c>
      <c r="B34" s="25"/>
      <c r="C34" s="25"/>
      <c r="D34" s="25"/>
      <c r="E34" s="25"/>
    </row>
    <row r="35" spans="1:5" ht="15.6" x14ac:dyDescent="0.3">
      <c r="A35" s="6" t="s">
        <v>4</v>
      </c>
      <c r="B35" s="7" t="s">
        <v>10</v>
      </c>
      <c r="C35" s="7" t="s">
        <v>14</v>
      </c>
      <c r="D35" s="7" t="s">
        <v>43</v>
      </c>
      <c r="E35" s="8" t="s">
        <v>44</v>
      </c>
    </row>
    <row r="36" spans="1:5" ht="15.6" x14ac:dyDescent="0.3">
      <c r="A36" s="9" t="str">
        <f>A4</f>
        <v>INV/2026/06/001</v>
      </c>
      <c r="B36" s="10">
        <f>G4</f>
        <v>10881.96826</v>
      </c>
      <c r="C36" s="11">
        <f>L4</f>
        <v>20570.866141732284</v>
      </c>
      <c r="D36" s="12">
        <f>C36-B36</f>
        <v>9688.8978817322841</v>
      </c>
      <c r="E36" s="13">
        <f t="shared" ref="E36:E41" si="1">D36/C36</f>
        <v>0.47100096879617226</v>
      </c>
    </row>
    <row r="37" spans="1:5" ht="15.6" x14ac:dyDescent="0.3">
      <c r="A37" s="14" t="str">
        <f>A11</f>
        <v>INV/2026/06/002</v>
      </c>
      <c r="B37" s="15">
        <f>G11</f>
        <v>2015.63175</v>
      </c>
      <c r="C37" s="16">
        <f>L11</f>
        <v>6233.5958005249349</v>
      </c>
      <c r="D37" s="12">
        <f t="shared" ref="D37:D40" si="2">C37-B37</f>
        <v>4217.9640505249354</v>
      </c>
      <c r="E37" s="13">
        <f t="shared" si="1"/>
        <v>0.67665023294736848</v>
      </c>
    </row>
    <row r="38" spans="1:5" ht="15.6" x14ac:dyDescent="0.3">
      <c r="A38" s="9" t="str">
        <f>A15</f>
        <v>INV/2026/06/003</v>
      </c>
      <c r="B38" s="10">
        <f>G15</f>
        <v>6764.5823124999997</v>
      </c>
      <c r="C38" s="11">
        <f>L15</f>
        <v>6880</v>
      </c>
      <c r="D38" s="12">
        <f t="shared" si="2"/>
        <v>115.41768750000028</v>
      </c>
      <c r="E38" s="13">
        <f t="shared" si="1"/>
        <v>1.677582667151167E-2</v>
      </c>
    </row>
    <row r="39" spans="1:5" ht="15.6" x14ac:dyDescent="0.3">
      <c r="A39" s="14" t="str">
        <f>A20</f>
        <v>INV/2026/06/004</v>
      </c>
      <c r="B39" s="15">
        <f>G20</f>
        <v>13529.164624999999</v>
      </c>
      <c r="C39" s="16">
        <f>L20</f>
        <v>13600</v>
      </c>
      <c r="D39" s="12">
        <f t="shared" si="2"/>
        <v>70.835375000000568</v>
      </c>
      <c r="E39" s="13">
        <f t="shared" si="1"/>
        <v>5.2084834558823951E-3</v>
      </c>
    </row>
    <row r="40" spans="1:5" ht="15.6" x14ac:dyDescent="0.3">
      <c r="A40" s="9" t="str">
        <f>A26</f>
        <v>INV/2026/06/005</v>
      </c>
      <c r="B40" s="10">
        <f>G26</f>
        <v>8309.533508999999</v>
      </c>
      <c r="C40" s="11">
        <f>L26</f>
        <v>8440.9448818897636</v>
      </c>
      <c r="D40" s="12">
        <f t="shared" si="2"/>
        <v>131.41137288976461</v>
      </c>
      <c r="E40" s="13">
        <f t="shared" si="1"/>
        <v>1.5568324959888158E-2</v>
      </c>
    </row>
    <row r="41" spans="1:5" ht="15.6" x14ac:dyDescent="0.3">
      <c r="A41" s="17" t="s">
        <v>45</v>
      </c>
      <c r="B41" s="18">
        <f>SUM(B36:B40)</f>
        <v>41500.880456500003</v>
      </c>
      <c r="C41" s="19">
        <f>SUM(C36:C40)</f>
        <v>55725.406824146979</v>
      </c>
      <c r="D41" s="20">
        <f>SUM(D36:D40)</f>
        <v>14224.526367646986</v>
      </c>
      <c r="E41" s="21">
        <f t="shared" si="1"/>
        <v>0.25526105915270236</v>
      </c>
    </row>
    <row r="42" spans="1:5" ht="15.6" x14ac:dyDescent="0.3">
      <c r="A42" s="22" t="s">
        <v>46</v>
      </c>
      <c r="B42" s="23">
        <f>SUM(F9+F13+F18+F24+F30)</f>
        <v>15287.715</v>
      </c>
    </row>
  </sheetData>
  <mergeCells count="25">
    <mergeCell ref="H2"/>
    <mergeCell ref="A26:A31"/>
    <mergeCell ref="L20:L25"/>
    <mergeCell ref="L26:L31"/>
    <mergeCell ref="G20:G25"/>
    <mergeCell ref="N11:N14"/>
    <mergeCell ref="G11:G14"/>
    <mergeCell ref="G15:G19"/>
    <mergeCell ref="G26:G31"/>
    <mergeCell ref="A34:E34"/>
    <mergeCell ref="A1:N1"/>
    <mergeCell ref="A4:A10"/>
    <mergeCell ref="G4:G10"/>
    <mergeCell ref="N15:N19"/>
    <mergeCell ref="I2:L2"/>
    <mergeCell ref="A15:A19"/>
    <mergeCell ref="N4:N10"/>
    <mergeCell ref="L15:L19"/>
    <mergeCell ref="A20:A25"/>
    <mergeCell ref="A2:G2"/>
    <mergeCell ref="L11:L14"/>
    <mergeCell ref="N26:N31"/>
    <mergeCell ref="N20:N25"/>
    <mergeCell ref="L4:L10"/>
    <mergeCell ref="A11:A14"/>
  </mergeCells>
  <printOptions horizontalCentered="1" verticalCentered="1"/>
  <pageMargins left="0" right="0" top="0" bottom="0.25" header="0.5" footer="0.5"/>
  <pageSetup paperSize="9" scale="15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Invoices</vt:lpstr>
      <vt:lpstr>Invoices!Print_Area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lastPrinted>2026-06-27T09:44:57Z</cp:lastPrinted>
  <dcterms:created xsi:type="dcterms:W3CDTF">2026-06-25T10:23:50Z</dcterms:created>
  <dcterms:modified xsi:type="dcterms:W3CDTF">2026-08-16T03:56:41Z</dcterms:modified>
</cp:coreProperties>
</file>